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20460" windowHeight="7695" activeTab="2"/>
  </bookViews>
  <sheets>
    <sheet name="Main" sheetId="1" r:id="rId1"/>
    <sheet name="map FA" sheetId="7" r:id="rId2"/>
    <sheet name="Additional_KZ" sheetId="3" r:id="rId3"/>
    <sheet name="Additional_FA" sheetId="5" r:id="rId4"/>
  </sheets>
  <functionGroups builtInGroupCount="18"/>
  <externalReferences>
    <externalReference r:id="rId5"/>
  </externalReferences>
  <calcPr calcId="152511" calcMode="manual" refMode="R1C1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T8" i="5" l="1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P8" i="5"/>
  <c r="BO8" i="5"/>
  <c r="BB8" i="5"/>
  <c r="BA8" i="5"/>
  <c r="AZ8" i="5"/>
  <c r="AY8" i="5"/>
  <c r="AV8" i="5"/>
  <c r="AU8" i="5"/>
  <c r="AT8" i="5"/>
  <c r="AS8" i="5"/>
  <c r="AP8" i="5"/>
  <c r="AO8" i="5"/>
  <c r="AN8" i="5"/>
  <c r="AM8" i="5"/>
  <c r="AL8" i="5"/>
  <c r="AK8" i="5"/>
  <c r="AJ8" i="5"/>
  <c r="AI8" i="5"/>
  <c r="AH8" i="5"/>
  <c r="AG8" i="5"/>
  <c r="AD8" i="5"/>
  <c r="AC8" i="5"/>
  <c r="AB8" i="5"/>
  <c r="AA8" i="5"/>
  <c r="Y8" i="5"/>
  <c r="X8" i="5"/>
  <c r="W8" i="5"/>
  <c r="V8" i="5"/>
  <c r="U8" i="5"/>
  <c r="R8" i="5"/>
  <c r="Q8" i="5"/>
  <c r="P8" i="5"/>
  <c r="O8" i="5"/>
  <c r="M8" i="5"/>
  <c r="L8" i="5"/>
  <c r="K8" i="5"/>
  <c r="J8" i="5"/>
  <c r="I8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<sst xmlns="http://schemas.openxmlformats.org/spreadsheetml/2006/main" count="701" uniqueCount="124">
  <si>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</si>
  <si>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</si>
  <si>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</si>
  <si>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</si>
  <si>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</si>
  <si>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</si>
  <si>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</si>
  <si>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</si>
  <si>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</si>
  <si>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</si>
  <si>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</si>
  <si>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</si>
  <si>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</si>
  <si>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</si>
  <si>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</si>
  <si>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</si>
  <si>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</si>
  <si>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</si>
  <si>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</si>
  <si>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</si>
  <si>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</si>
  <si>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</si>
  <si>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</si>
  <si>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</si>
  <si>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</si>
  <si>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</si>
  <si>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</si>
  <si>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</si>
  <si>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</si>
  <si>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</si>
  <si>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</si>
  <si>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</si>
  <si>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</si>
  <si>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</si>
  <si>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</si>
  <si>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</si>
  <si>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</si>
  <si>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</si>
  <si>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</si>
  <si>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</si>
  <si>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</si>
  <si>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</si>
  <si>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</si>
  <si>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</si>
  <si>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</si>
  <si>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</si>
  <si>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</si>
  <si>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</si>
  <si>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</si>
  <si>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</si>
  <si>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</si>
  <si>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</si>
  <si>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</si>
  <si>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</si>
  <si>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План Январь 2015</t>
  </si>
  <si>
    <t>Прогноз Январь 2015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</si>
  <si>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</si>
  <si>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</si>
  <si>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</si>
  <si>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</si>
  <si>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</si>
  <si>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</si>
  <si>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</si>
  <si>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</si>
  <si>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</si>
  <si>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</si>
  <si>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</si>
  <si>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</si>
  <si>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</si>
  <si>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</si>
  <si>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</si>
  <si>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</si>
  <si>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</si>
  <si>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</si>
  <si>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</si>
  <si>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</si>
  <si>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</si>
  <si>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</si>
  <si>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</si>
  <si>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</si>
  <si>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</si>
  <si>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</si>
  <si>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</si>
  <si>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</si>
  <si>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</si>
  <si>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</si>
  <si>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</si>
  <si>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</si>
  <si>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</si>
  <si>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Факт Январь 2014</t>
  </si>
  <si>
    <t>Факт Январь 2015 год</t>
  </si>
  <si>
    <t>Предыдущий прогноз Январь 2015 год</t>
  </si>
  <si>
    <t>Факт Январь 2014/Факт Январь 2015</t>
  </si>
  <si>
    <t>Факт Январь 2015/План Январь 2015</t>
  </si>
  <si>
    <t>Факт Январь 2015/Предыдущий прогноз Январь 2015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</si>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</sst>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</numFmts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rgb="FF800000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0"/>
      <name val="Helv"/>
      <charset val="204"/>
    </font>
    <font>
      <b/>
      <sz val="10"/>
      <color rgb="FFFF0000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sz val="10"/>
      <color rgb="FF00B05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10"/>
      <color rgb="FFFF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EAEAEA"/>
        <bgColor indexed="27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5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0" fontId="1" fillId="6" borderId="0" applyNumberFormat="0" applyBorder="0" applyAlignment="0" applyProtection="0"/>
    <xf numFmtId="0" fontId="7" fillId="0" borderId="0"/>
    <xf numFmtId="0" fontId="15" fillId="0" borderId="0"/>
    <xf numFmtId="43" fontId="20" fillId="0" borderId="0" applyFont="0" applyFill="0" applyBorder="0" applyAlignment="0" applyProtection="0"/>
    <xf numFmtId="9" fontId="7" fillId="0" borderId="0" applyFill="0" applyBorder="0" applyAlignment="0" applyProtection="0"/>
  </cellStyleXfs>
  <cellXfs count="176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3" fillId="0" borderId="0" xfId="0" applyNumberFormat="1" applyFont="1" applyFill="1" applyBorder="1" applyAlignment="1">
      <alignment horizontal="left"/>
    </xf>
    <xf numFmtId="164" fontId="4" fillId="0" borderId="0" xfId="1" applyNumberFormat="1" applyFont="1" applyFill="1" applyBorder="1" applyAlignment="1">
      <alignment horizontal="left"/>
    </xf>
    <xf numFmtId="164" fontId="6" fillId="0" borderId="0" xfId="0" applyNumberFormat="1" applyFont="1" applyFill="1" applyBorder="1" applyProtection="1"/>
    <xf numFmtId="4" fontId="5" fillId="0" borderId="0" xfId="0" applyNumberFormat="1" applyFont="1" applyFill="1" applyBorder="1" applyAlignment="1"/>
    <xf numFmtId="165" fontId="8" fillId="0" borderId="1" xfId="2" applyNumberFormat="1" applyFont="1" applyFill="1" applyBorder="1" applyAlignment="1">
      <alignment horizontal="right" vertical="center" indent="1"/>
    </xf>
    <xf numFmtId="9" fontId="8" fillId="0" borderId="1" xfId="2" applyNumberFormat="1" applyFont="1" applyFill="1" applyBorder="1" applyAlignment="1">
      <alignment horizontal="right" vertical="center" indent="1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wrapText="1"/>
    </xf>
    <xf numFmtId="166" fontId="8" fillId="0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10" fillId="0" borderId="0" xfId="0" applyFont="1" applyFill="1" applyAlignment="1" applyProtection="1">
      <alignment vertical="center"/>
    </xf>
    <xf numFmtId="165" fontId="8" fillId="5" borderId="1" xfId="3" applyNumberFormat="1" applyFont="1" applyFill="1" applyBorder="1" applyAlignment="1" applyProtection="1">
      <alignment horizontal="right" vertical="center" indent="1"/>
    </xf>
    <xf numFmtId="9" fontId="8" fillId="5" borderId="1" xfId="3" applyFont="1" applyFill="1" applyBorder="1" applyAlignment="1" applyProtection="1">
      <alignment horizontal="right" vertical="center" indent="1"/>
    </xf>
    <xf numFmtId="49" fontId="8" fillId="0" borderId="1" xfId="0" applyNumberFormat="1" applyFont="1" applyFill="1" applyBorder="1" applyAlignment="1" applyProtection="1">
      <alignment vertical="center" wrapText="1"/>
    </xf>
    <xf numFmtId="3" fontId="8" fillId="0" borderId="1" xfId="0" applyNumberFormat="1" applyFont="1" applyFill="1" applyBorder="1" applyAlignment="1" applyProtection="1">
      <alignment horizontal="left" vertical="center" wrapText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8" fillId="5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1" fillId="0" borderId="0" xfId="0" applyNumberFormat="1" applyFont="1" applyFill="1" applyProtection="1">
      <protection locked="0"/>
    </xf>
    <xf numFmtId="0" fontId="14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9" fillId="6" borderId="1" xfId="4" applyFont="1" applyBorder="1" applyProtection="1">
      <protection locked="0"/>
    </xf>
    <xf numFmtId="0" fontId="1" fillId="6" borderId="1" xfId="4" applyBorder="1" applyProtection="1">
      <protection locked="0"/>
    </xf>
    <xf numFmtId="0" fontId="13" fillId="6" borderId="1" xfId="4" applyFont="1" applyBorder="1" applyProtection="1">
      <protection locked="0"/>
    </xf>
    <xf numFmtId="0" fontId="10" fillId="5" borderId="1" xfId="0" applyFont="1" applyFill="1" applyBorder="1" applyAlignment="1" applyProtection="1">
      <alignment vertical="center"/>
      <protection locked="0"/>
    </xf>
    <xf numFmtId="169" fontId="2" fillId="4" borderId="2" xfId="6" applyNumberFormat="1" applyFont="1" applyFill="1" applyBorder="1" applyAlignment="1">
      <alignment horizontal="center" vertical="center" wrapText="1"/>
    </xf>
    <xf numFmtId="169" fontId="2" fillId="4" borderId="3" xfId="6" applyNumberFormat="1" applyFont="1" applyFill="1" applyBorder="1" applyAlignment="1">
      <alignment horizontal="center" vertical="center" wrapText="1"/>
    </xf>
    <xf numFmtId="169" fontId="2" fillId="4" borderId="30" xfId="6" applyNumberFormat="1" applyFont="1" applyFill="1" applyBorder="1" applyAlignment="1">
      <alignment horizontal="center" vertical="center" wrapText="1"/>
    </xf>
    <xf numFmtId="167" fontId="2" fillId="4" borderId="31" xfId="6" applyNumberFormat="1" applyFont="1" applyFill="1" applyBorder="1" applyAlignment="1">
      <alignment horizontal="center" vertical="center" wrapText="1"/>
    </xf>
    <xf numFmtId="167" fontId="2" fillId="4" borderId="3" xfId="6" applyNumberFormat="1" applyFont="1" applyFill="1" applyBorder="1" applyAlignment="1">
      <alignment horizontal="center" vertical="center" wrapText="1"/>
    </xf>
    <xf numFmtId="167" fontId="2" fillId="4" borderId="4" xfId="6" applyNumberFormat="1" applyFont="1" applyFill="1" applyBorder="1" applyAlignment="1">
      <alignment horizontal="center" vertical="center" wrapText="1"/>
    </xf>
    <xf numFmtId="168" fontId="2" fillId="4" borderId="1" xfId="6" applyNumberFormat="1" applyFont="1" applyFill="1" applyBorder="1" applyAlignment="1">
      <alignment horizontal="center" wrapText="1"/>
    </xf>
    <xf numFmtId="168" fontId="2" fillId="4" borderId="1" xfId="6" applyNumberFormat="1" applyFont="1" applyFill="1" applyBorder="1" applyAlignment="1">
      <alignment horizontal="center" vertical="center" wrapText="1"/>
    </xf>
    <xf numFmtId="3" fontId="2" fillId="4" borderId="1" xfId="6" applyNumberFormat="1" applyFont="1" applyFill="1" applyBorder="1" applyAlignment="1">
      <alignment horizontal="center" vertical="center" wrapText="1"/>
    </xf>
    <xf numFmtId="169" fontId="2" fillId="4" borderId="1" xfId="6" applyNumberFormat="1" applyFont="1" applyFill="1" applyBorder="1" applyAlignment="1">
      <alignment horizontal="center" vertical="center" wrapText="1"/>
    </xf>
    <xf numFmtId="169" fontId="2" fillId="4" borderId="4" xfId="6" applyNumberFormat="1" applyFont="1" applyFill="1" applyBorder="1" applyAlignment="1">
      <alignment horizontal="center" vertical="center" wrapText="1"/>
    </xf>
    <xf numFmtId="169" fontId="2" fillId="4" borderId="36" xfId="6" applyNumberFormat="1" applyFont="1" applyFill="1" applyBorder="1" applyAlignment="1">
      <alignment horizontal="center" vertical="center" wrapText="1"/>
    </xf>
    <xf numFmtId="3" fontId="2" fillId="4" borderId="2" xfId="6" applyNumberFormat="1" applyFont="1" applyFill="1" applyBorder="1" applyAlignment="1">
      <alignment horizontal="center" vertical="center" wrapText="1"/>
    </xf>
    <xf numFmtId="167" fontId="2" fillId="4" borderId="1" xfId="6" applyNumberFormat="1" applyFont="1" applyFill="1" applyBorder="1" applyAlignment="1">
      <alignment horizontal="center" vertical="center" wrapText="1"/>
    </xf>
    <xf numFmtId="167" fontId="2" fillId="4" borderId="2" xfId="6" applyNumberFormat="1" applyFont="1" applyFill="1" applyBorder="1" applyAlignment="1">
      <alignment horizontal="center" vertical="center" wrapText="1"/>
    </xf>
    <xf numFmtId="167" fontId="2" fillId="4" borderId="36" xfId="6" applyNumberFormat="1" applyFont="1" applyFill="1" applyBorder="1" applyAlignment="1">
      <alignment horizontal="center" vertical="center" wrapText="1"/>
    </xf>
    <xf numFmtId="0" fontId="17" fillId="0" borderId="0" xfId="0" applyFont="1"/>
    <xf numFmtId="168" fontId="18" fillId="4" borderId="1" xfId="6" applyNumberFormat="1" applyFont="1" applyFill="1" applyBorder="1" applyAlignment="1">
      <alignment horizontal="center" vertical="center" wrapText="1"/>
    </xf>
    <xf numFmtId="0" fontId="19" fillId="5" borderId="0" xfId="6" applyFont="1" applyFill="1" applyAlignment="1">
      <alignment vertical="center"/>
    </xf>
    <xf numFmtId="0" fontId="8" fillId="5" borderId="0" xfId="6" applyFont="1" applyFill="1" applyAlignment="1">
      <alignment vertical="center"/>
    </xf>
    <xf numFmtId="168" fontId="18" fillId="4" borderId="1" xfId="6" applyNumberFormat="1" applyFont="1" applyFill="1" applyBorder="1" applyAlignment="1">
      <alignment horizontal="center" wrapText="1"/>
    </xf>
    <xf numFmtId="3" fontId="18" fillId="4" borderId="1" xfId="6" applyNumberFormat="1" applyFont="1" applyFill="1" applyBorder="1" applyAlignment="1">
      <alignment horizontal="center" vertical="center" wrapText="1"/>
    </xf>
    <xf numFmtId="169" fontId="18" fillId="4" borderId="1" xfId="6" applyNumberFormat="1" applyFont="1" applyFill="1" applyBorder="1" applyAlignment="1">
      <alignment horizontal="center" vertical="center" wrapText="1"/>
    </xf>
    <xf numFmtId="169" fontId="18" fillId="4" borderId="4" xfId="6" applyNumberFormat="1" applyFont="1" applyFill="1" applyBorder="1" applyAlignment="1">
      <alignment horizontal="center" vertical="center" wrapText="1"/>
    </xf>
    <xf numFmtId="49" fontId="8" fillId="0" borderId="24" xfId="5" applyNumberFormat="1" applyFont="1" applyFill="1" applyBorder="1" applyAlignment="1">
      <alignment horizontal="center" vertical="center"/>
    </xf>
    <xf numFmtId="49" fontId="8" fillId="0" borderId="4" xfId="6" applyNumberFormat="1" applyFont="1" applyFill="1" applyBorder="1" applyAlignment="1">
      <alignment horizontal="center" vertical="center"/>
    </xf>
    <xf numFmtId="167" fontId="8" fillId="0" borderId="1" xfId="6" applyNumberFormat="1" applyFont="1" applyFill="1" applyBorder="1" applyAlignment="1">
      <alignment horizontal="left" vertical="center" wrapText="1"/>
    </xf>
    <xf numFmtId="167" fontId="8" fillId="0" borderId="3" xfId="6" applyNumberFormat="1" applyFont="1" applyFill="1" applyBorder="1" applyAlignment="1">
      <alignment horizontal="left" vertical="center" wrapText="1"/>
    </xf>
    <xf numFmtId="167" fontId="8" fillId="0" borderId="36" xfId="6" applyNumberFormat="1" applyFont="1" applyFill="1" applyBorder="1" applyAlignment="1">
      <alignment horizontal="left" vertical="center" wrapText="1"/>
    </xf>
    <xf numFmtId="167" fontId="8" fillId="0" borderId="24" xfId="6" applyNumberFormat="1" applyFont="1" applyFill="1" applyBorder="1" applyAlignment="1">
      <alignment horizontal="left" vertical="center" wrapText="1"/>
    </xf>
    <xf numFmtId="3" fontId="8" fillId="0" borderId="24" xfId="7" applyNumberFormat="1" applyFont="1" applyFill="1" applyBorder="1" applyAlignment="1">
      <alignment horizontal="center" vertical="center" wrapText="1"/>
    </xf>
    <xf numFmtId="3" fontId="8" fillId="0" borderId="1" xfId="7" applyNumberFormat="1" applyFont="1" applyFill="1" applyBorder="1" applyAlignment="1">
      <alignment horizontal="center" vertical="center" wrapText="1"/>
    </xf>
    <xf numFmtId="3" fontId="8" fillId="0" borderId="4" xfId="7" applyNumberFormat="1" applyFont="1" applyFill="1" applyBorder="1" applyAlignment="1">
      <alignment horizontal="center" vertical="center" wrapText="1"/>
    </xf>
    <xf numFmtId="167" fontId="8" fillId="0" borderId="2" xfId="6" applyNumberFormat="1" applyFont="1" applyFill="1" applyBorder="1" applyAlignment="1">
      <alignment horizontal="left" vertical="center" wrapText="1"/>
    </xf>
    <xf numFmtId="3" fontId="8" fillId="0" borderId="36" xfId="7" applyNumberFormat="1" applyFont="1" applyFill="1" applyBorder="1" applyAlignment="1">
      <alignment horizontal="center" vertical="center" wrapText="1"/>
    </xf>
    <xf numFmtId="3" fontId="8" fillId="0" borderId="30" xfId="7" applyNumberFormat="1" applyFont="1" applyFill="1" applyBorder="1" applyAlignment="1">
      <alignment horizontal="center" vertical="center" wrapText="1"/>
    </xf>
    <xf numFmtId="167" fontId="8" fillId="0" borderId="1" xfId="7" applyNumberFormat="1" applyFont="1" applyFill="1" applyBorder="1" applyAlignment="1">
      <alignment horizontal="center" vertical="center" wrapText="1"/>
    </xf>
    <xf numFmtId="170" fontId="8" fillId="0" borderId="2" xfId="8" applyNumberFormat="1" applyFont="1" applyFill="1" applyBorder="1" applyAlignment="1">
      <alignment horizontal="center" vertical="center" wrapText="1"/>
    </xf>
    <xf numFmtId="3" fontId="8" fillId="0" borderId="3" xfId="7" applyNumberFormat="1" applyFont="1" applyFill="1" applyBorder="1" applyAlignment="1">
      <alignment horizontal="center" vertical="center" wrapText="1"/>
    </xf>
    <xf numFmtId="10" fontId="21" fillId="0" borderId="1" xfId="7" applyNumberFormat="1" applyFont="1" applyFill="1" applyBorder="1" applyAlignment="1">
      <alignment horizontal="center" vertical="center" wrapText="1"/>
    </xf>
    <xf numFmtId="10" fontId="7" fillId="0" borderId="1" xfId="8" applyNumberFormat="1" applyFont="1" applyFill="1" applyBorder="1" applyAlignment="1">
      <alignment horizontal="center" vertical="center" wrapText="1"/>
    </xf>
    <xf numFmtId="10" fontId="7" fillId="0" borderId="2" xfId="8" applyNumberFormat="1" applyFont="1" applyFill="1" applyBorder="1" applyAlignment="1">
      <alignment horizontal="center" vertical="center" wrapText="1"/>
    </xf>
    <xf numFmtId="3" fontId="8" fillId="0" borderId="2" xfId="7" applyNumberFormat="1" applyFont="1" applyFill="1" applyBorder="1" applyAlignment="1">
      <alignment horizontal="center" vertical="center" wrapText="1"/>
    </xf>
    <xf numFmtId="10" fontId="7" fillId="0" borderId="36" xfId="8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8" fontId="16" fillId="4" borderId="1" xfId="6" applyNumberFormat="1" applyFont="1" applyFill="1" applyBorder="1" applyAlignment="1">
      <alignment horizontal="center" vertical="center" wrapText="1"/>
    </xf>
    <xf numFmtId="169" fontId="18" fillId="4" borderId="25" xfId="6" applyNumberFormat="1" applyFont="1" applyFill="1" applyBorder="1" applyAlignment="1">
      <alignment horizontal="center" vertical="center" wrapText="1"/>
    </xf>
    <xf numFmtId="169" fontId="18" fillId="4" borderId="32" xfId="6" applyNumberFormat="1" applyFont="1" applyFill="1" applyBorder="1" applyAlignment="1">
      <alignment horizontal="center" vertical="center" wrapText="1"/>
    </xf>
    <xf numFmtId="169" fontId="18" fillId="4" borderId="26" xfId="6" applyNumberFormat="1" applyFont="1" applyFill="1" applyBorder="1" applyAlignment="1">
      <alignment horizontal="center" vertical="center" wrapText="1"/>
    </xf>
    <xf numFmtId="169" fontId="18" fillId="4" borderId="33" xfId="6" applyNumberFormat="1" applyFont="1" applyFill="1" applyBorder="1" applyAlignment="1">
      <alignment horizontal="center" vertical="center" wrapText="1"/>
    </xf>
    <xf numFmtId="168" fontId="18" fillId="4" borderId="27" xfId="6" applyNumberFormat="1" applyFont="1" applyFill="1" applyBorder="1" applyAlignment="1">
      <alignment horizontal="center" vertical="center" wrapText="1"/>
    </xf>
    <xf numFmtId="168" fontId="18" fillId="4" borderId="22" xfId="6" applyNumberFormat="1" applyFont="1" applyFill="1" applyBorder="1" applyAlignment="1">
      <alignment horizontal="center" vertical="center" wrapText="1"/>
    </xf>
    <xf numFmtId="168" fontId="18" fillId="4" borderId="26" xfId="6" applyNumberFormat="1" applyFont="1" applyFill="1" applyBorder="1" applyAlignment="1">
      <alignment horizontal="center" vertical="center" wrapText="1"/>
    </xf>
    <xf numFmtId="168" fontId="18" fillId="4" borderId="33" xfId="6" applyNumberFormat="1" applyFont="1" applyFill="1" applyBorder="1" applyAlignment="1">
      <alignment horizontal="center" vertical="center" wrapText="1"/>
    </xf>
    <xf numFmtId="167" fontId="18" fillId="4" borderId="24" xfId="6" applyNumberFormat="1" applyFont="1" applyFill="1" applyBorder="1" applyAlignment="1">
      <alignment horizontal="center" vertical="center" wrapText="1"/>
    </xf>
    <xf numFmtId="167" fontId="16" fillId="4" borderId="1" xfId="6" applyNumberFormat="1" applyFont="1" applyFill="1" applyBorder="1" applyAlignment="1">
      <alignment horizontal="center" vertical="center" wrapText="1"/>
    </xf>
    <xf numFmtId="168" fontId="18" fillId="4" borderId="1" xfId="6" applyNumberFormat="1" applyFont="1" applyFill="1" applyBorder="1" applyAlignment="1">
      <alignment horizontal="center" vertical="center" wrapText="1"/>
    </xf>
    <xf numFmtId="168" fontId="18" fillId="4" borderId="25" xfId="6" applyNumberFormat="1" applyFont="1" applyFill="1" applyBorder="1" applyAlignment="1">
      <alignment horizontal="center" vertical="center" wrapText="1"/>
    </xf>
    <xf numFmtId="168" fontId="18" fillId="4" borderId="32" xfId="6" applyNumberFormat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41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1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quotePrefix="1" applyNumberFormat="1" applyFont="1" applyFill="1" applyBorder="1" applyAlignment="1" applyProtection="1">
      <alignment horizontal="center" vertical="center" wrapText="1"/>
      <protection hidden="1"/>
    </xf>
    <xf numFmtId="165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165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6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5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2" xfId="0" applyNumberFormat="1" applyFont="1" applyFill="1" applyBorder="1" applyAlignment="1" applyProtection="1">
      <alignment horizontal="center" vertical="center" wrapText="1"/>
      <protection hidden="1"/>
    </xf>
    <xf numFmtId="3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4" borderId="1" xfId="0" applyNumberFormat="1" applyFont="1" applyFill="1" applyBorder="1" applyAlignment="1" applyProtection="1">
      <alignment horizontal="center" vertical="center"/>
    </xf>
    <xf numFmtId="3" fontId="2" fillId="4" borderId="1" xfId="0" applyNumberFormat="1" applyFont="1" applyFill="1" applyBorder="1" applyAlignment="1" applyProtection="1">
      <alignment horizontal="center" vertical="center" wrapText="1"/>
    </xf>
    <xf numFmtId="17" fontId="2" fillId="4" borderId="10" xfId="6" applyNumberFormat="1" applyFont="1" applyFill="1" applyBorder="1" applyAlignment="1">
      <alignment horizontal="center" vertical="center" wrapText="1"/>
    </xf>
    <xf numFmtId="17" fontId="2" fillId="4" borderId="12" xfId="6" applyNumberFormat="1" applyFont="1" applyFill="1" applyBorder="1" applyAlignment="1">
      <alignment horizontal="center" vertical="center" wrapText="1"/>
    </xf>
    <xf numFmtId="17" fontId="2" fillId="4" borderId="9" xfId="6" applyNumberFormat="1" applyFont="1" applyFill="1" applyBorder="1" applyAlignment="1">
      <alignment horizontal="center" vertical="center" wrapText="1"/>
    </xf>
    <xf numFmtId="17" fontId="2" fillId="4" borderId="21" xfId="6" applyNumberFormat="1" applyFont="1" applyFill="1" applyBorder="1" applyAlignment="1">
      <alignment horizontal="center" vertical="center" wrapText="1"/>
    </xf>
    <xf numFmtId="17" fontId="2" fillId="4" borderId="22" xfId="6" applyNumberFormat="1" applyFont="1" applyFill="1" applyBorder="1" applyAlignment="1">
      <alignment horizontal="center" vertical="center" wrapText="1"/>
    </xf>
    <xf numFmtId="17" fontId="2" fillId="4" borderId="23" xfId="6" applyNumberFormat="1" applyFont="1" applyFill="1" applyBorder="1" applyAlignment="1">
      <alignment horizontal="center" vertical="center" wrapText="1"/>
    </xf>
    <xf numFmtId="49" fontId="2" fillId="4" borderId="7" xfId="5" applyNumberFormat="1" applyFont="1" applyFill="1" applyBorder="1" applyAlignment="1">
      <alignment horizontal="center" vertical="center" wrapText="1"/>
    </xf>
    <xf numFmtId="49" fontId="2" fillId="4" borderId="16" xfId="5" applyNumberFormat="1" applyFont="1" applyFill="1" applyBorder="1" applyAlignment="1">
      <alignment horizontal="center" vertical="center" wrapText="1"/>
    </xf>
    <xf numFmtId="49" fontId="2" fillId="4" borderId="34" xfId="5" applyNumberFormat="1" applyFont="1" applyFill="1" applyBorder="1" applyAlignment="1">
      <alignment horizontal="center" vertical="center" wrapText="1"/>
    </xf>
    <xf numFmtId="49" fontId="2" fillId="4" borderId="8" xfId="6" applyNumberFormat="1" applyFont="1" applyFill="1" applyBorder="1" applyAlignment="1">
      <alignment horizontal="center" vertical="center" wrapText="1"/>
    </xf>
    <xf numFmtId="49" fontId="2" fillId="4" borderId="17" xfId="6" applyNumberFormat="1" applyFont="1" applyFill="1" applyBorder="1" applyAlignment="1">
      <alignment horizontal="center" vertical="center" wrapText="1"/>
    </xf>
    <xf numFmtId="49" fontId="2" fillId="4" borderId="5" xfId="6" applyNumberFormat="1" applyFont="1" applyFill="1" applyBorder="1" applyAlignment="1">
      <alignment horizontal="center" vertical="center" wrapText="1"/>
    </xf>
    <xf numFmtId="167" fontId="2" fillId="4" borderId="8" xfId="6" applyNumberFormat="1" applyFont="1" applyFill="1" applyBorder="1" applyAlignment="1">
      <alignment horizontal="center" vertical="center" wrapText="1"/>
    </xf>
    <xf numFmtId="167" fontId="2" fillId="4" borderId="17" xfId="6" applyNumberFormat="1" applyFont="1" applyFill="1" applyBorder="1" applyAlignment="1">
      <alignment horizontal="center" vertical="center" wrapText="1"/>
    </xf>
    <xf numFmtId="167" fontId="2" fillId="4" borderId="5" xfId="6" applyNumberFormat="1" applyFont="1" applyFill="1" applyBorder="1" applyAlignment="1">
      <alignment horizontal="center" vertical="center" wrapText="1"/>
    </xf>
    <xf numFmtId="167" fontId="2" fillId="4" borderId="9" xfId="6" applyNumberFormat="1" applyFont="1" applyFill="1" applyBorder="1" applyAlignment="1">
      <alignment horizontal="center" vertical="center" wrapText="1"/>
    </xf>
    <xf numFmtId="167" fontId="2" fillId="4" borderId="18" xfId="6" applyNumberFormat="1" applyFont="1" applyFill="1" applyBorder="1" applyAlignment="1">
      <alignment horizontal="center" vertical="center" wrapText="1"/>
    </xf>
    <xf numFmtId="167" fontId="2" fillId="4" borderId="23" xfId="6" applyNumberFormat="1" applyFont="1" applyFill="1" applyBorder="1" applyAlignment="1">
      <alignment horizontal="center" vertical="center" wrapText="1"/>
    </xf>
    <xf numFmtId="167" fontId="16" fillId="4" borderId="10" xfId="6" applyNumberFormat="1" applyFont="1" applyFill="1" applyBorder="1" applyAlignment="1">
      <alignment horizontal="center" vertical="center" wrapText="1"/>
    </xf>
    <xf numFmtId="167" fontId="16" fillId="4" borderId="19" xfId="6" applyNumberFormat="1" applyFont="1" applyFill="1" applyBorder="1" applyAlignment="1">
      <alignment horizontal="center" vertical="center" wrapText="1"/>
    </xf>
    <xf numFmtId="167" fontId="16" fillId="4" borderId="21" xfId="6" applyNumberFormat="1" applyFont="1" applyFill="1" applyBorder="1" applyAlignment="1">
      <alignment horizontal="center" vertical="center" wrapText="1"/>
    </xf>
    <xf numFmtId="167" fontId="16" fillId="4" borderId="11" xfId="6" applyNumberFormat="1" applyFont="1" applyFill="1" applyBorder="1" applyAlignment="1">
      <alignment horizontal="center" vertical="center" wrapText="1"/>
    </xf>
    <xf numFmtId="167" fontId="16" fillId="4" borderId="20" xfId="6" applyNumberFormat="1" applyFont="1" applyFill="1" applyBorder="1" applyAlignment="1">
      <alignment horizontal="center" vertical="center" wrapText="1"/>
    </xf>
    <xf numFmtId="167" fontId="16" fillId="4" borderId="35" xfId="6" applyNumberFormat="1" applyFont="1" applyFill="1" applyBorder="1" applyAlignment="1">
      <alignment horizontal="center" vertical="center" wrapText="1"/>
    </xf>
    <xf numFmtId="169" fontId="2" fillId="4" borderId="25" xfId="6" applyNumberFormat="1" applyFont="1" applyFill="1" applyBorder="1" applyAlignment="1">
      <alignment horizontal="center" vertical="center" wrapText="1"/>
    </xf>
    <xf numFmtId="169" fontId="2" fillId="4" borderId="26" xfId="6" applyNumberFormat="1" applyFont="1" applyFill="1" applyBorder="1" applyAlignment="1">
      <alignment horizontal="center" vertical="center" wrapText="1"/>
    </xf>
    <xf numFmtId="169" fontId="2" fillId="4" borderId="32" xfId="6" applyNumberFormat="1" applyFont="1" applyFill="1" applyBorder="1" applyAlignment="1">
      <alignment horizontal="center" vertical="center" wrapText="1"/>
    </xf>
    <xf numFmtId="169" fontId="2" fillId="4" borderId="33" xfId="6" applyNumberFormat="1" applyFont="1" applyFill="1" applyBorder="1" applyAlignment="1">
      <alignment horizontal="center" vertical="center" wrapText="1"/>
    </xf>
    <xf numFmtId="168" fontId="2" fillId="4" borderId="27" xfId="6" applyNumberFormat="1" applyFont="1" applyFill="1" applyBorder="1" applyAlignment="1">
      <alignment horizontal="center" vertical="center" wrapText="1"/>
    </xf>
    <xf numFmtId="168" fontId="2" fillId="4" borderId="28" xfId="6" applyNumberFormat="1" applyFont="1" applyFill="1" applyBorder="1" applyAlignment="1">
      <alignment horizontal="center" vertical="center" wrapText="1"/>
    </xf>
    <xf numFmtId="168" fontId="2" fillId="4" borderId="22" xfId="6" applyNumberFormat="1" applyFont="1" applyFill="1" applyBorder="1" applyAlignment="1">
      <alignment horizontal="center" vertical="center" wrapText="1"/>
    </xf>
    <xf numFmtId="168" fontId="2" fillId="4" borderId="23" xfId="6" applyNumberFormat="1" applyFont="1" applyFill="1" applyBorder="1" applyAlignment="1">
      <alignment horizontal="center" vertical="center" wrapText="1"/>
    </xf>
    <xf numFmtId="167" fontId="16" fillId="4" borderId="24" xfId="6" applyNumberFormat="1" applyFont="1" applyFill="1" applyBorder="1" applyAlignment="1">
      <alignment horizontal="center" vertical="center" wrapText="1"/>
    </xf>
    <xf numFmtId="167" fontId="16" fillId="4" borderId="2" xfId="6" applyNumberFormat="1" applyFont="1" applyFill="1" applyBorder="1" applyAlignment="1">
      <alignment horizontal="center" vertical="center" wrapText="1"/>
    </xf>
    <xf numFmtId="168" fontId="2" fillId="4" borderId="26" xfId="6" applyNumberFormat="1" applyFont="1" applyFill="1" applyBorder="1" applyAlignment="1">
      <alignment horizontal="center" vertical="center" wrapText="1"/>
    </xf>
    <xf numFmtId="168" fontId="2" fillId="4" borderId="33" xfId="6" applyNumberFormat="1" applyFont="1" applyFill="1" applyBorder="1" applyAlignment="1">
      <alignment horizontal="center" vertical="center" wrapText="1"/>
    </xf>
    <xf numFmtId="168" fontId="2" fillId="4" borderId="24" xfId="6" applyNumberFormat="1" applyFont="1" applyFill="1" applyBorder="1" applyAlignment="1">
      <alignment horizontal="center" vertical="center" wrapText="1"/>
    </xf>
    <xf numFmtId="168" fontId="2" fillId="4" borderId="1" xfId="6" applyNumberFormat="1" applyFont="1" applyFill="1" applyBorder="1" applyAlignment="1">
      <alignment horizontal="center" vertical="center" wrapText="1"/>
    </xf>
    <xf numFmtId="168" fontId="2" fillId="4" borderId="25" xfId="6" applyNumberFormat="1" applyFont="1" applyFill="1" applyBorder="1" applyAlignment="1">
      <alignment horizontal="center" vertical="center" wrapText="1"/>
    </xf>
    <xf numFmtId="168" fontId="2" fillId="4" borderId="32" xfId="6" applyNumberFormat="1" applyFont="1" applyFill="1" applyBorder="1" applyAlignment="1">
      <alignment horizontal="center" vertical="center" wrapText="1"/>
    </xf>
    <xf numFmtId="0" fontId="2" fillId="4" borderId="21" xfId="6" applyNumberFormat="1" applyFont="1" applyFill="1" applyBorder="1" applyAlignment="1">
      <alignment horizontal="center" vertical="center" wrapText="1"/>
    </xf>
    <xf numFmtId="0" fontId="2" fillId="4" borderId="22" xfId="6" applyNumberFormat="1" applyFont="1" applyFill="1" applyBorder="1" applyAlignment="1">
      <alignment horizontal="center" vertical="center" wrapText="1"/>
    </xf>
    <xf numFmtId="0" fontId="2" fillId="4" borderId="23" xfId="6" applyNumberFormat="1" applyFont="1" applyFill="1" applyBorder="1" applyAlignment="1">
      <alignment horizontal="center" vertical="center" wrapText="1"/>
    </xf>
    <xf numFmtId="17" fontId="2" fillId="4" borderId="13" xfId="6" applyNumberFormat="1" applyFont="1" applyFill="1" applyBorder="1" applyAlignment="1">
      <alignment horizontal="center" vertical="center" wrapText="1"/>
    </xf>
    <xf numFmtId="17" fontId="2" fillId="4" borderId="14" xfId="6" applyNumberFormat="1" applyFont="1" applyFill="1" applyBorder="1" applyAlignment="1">
      <alignment horizontal="center" vertical="center" wrapText="1"/>
    </xf>
    <xf numFmtId="17" fontId="2" fillId="4" borderId="15" xfId="6" applyNumberFormat="1" applyFont="1" applyFill="1" applyBorder="1" applyAlignment="1">
      <alignment horizontal="center" vertical="center" wrapText="1"/>
    </xf>
    <xf numFmtId="17" fontId="2" fillId="4" borderId="19" xfId="6" applyNumberFormat="1" applyFont="1" applyFill="1" applyBorder="1" applyAlignment="1">
      <alignment horizontal="center" vertical="center" wrapText="1"/>
    </xf>
    <xf numFmtId="17" fontId="2" fillId="4" borderId="0" xfId="6" applyNumberFormat="1" applyFont="1" applyFill="1" applyBorder="1" applyAlignment="1">
      <alignment horizontal="center" vertical="center" wrapText="1"/>
    </xf>
    <xf numFmtId="167" fontId="2" fillId="4" borderId="31" xfId="6" applyNumberFormat="1" applyFont="1" applyFill="1" applyBorder="1" applyAlignment="1">
      <alignment horizontal="center" vertical="center" wrapText="1"/>
    </xf>
    <xf numFmtId="167" fontId="2" fillId="4" borderId="3" xfId="6" applyNumberFormat="1" applyFont="1" applyFill="1" applyBorder="1" applyAlignment="1">
      <alignment horizontal="center" vertical="center" wrapText="1"/>
    </xf>
    <xf numFmtId="167" fontId="2" fillId="4" borderId="4" xfId="6" applyNumberFormat="1" applyFont="1" applyFill="1" applyBorder="1" applyAlignment="1">
      <alignment horizontal="center" vertical="center" wrapText="1"/>
    </xf>
    <xf numFmtId="167" fontId="2" fillId="4" borderId="25" xfId="6" applyNumberFormat="1" applyFont="1" applyFill="1" applyBorder="1" applyAlignment="1">
      <alignment horizontal="center" vertical="center" wrapText="1"/>
    </xf>
    <xf numFmtId="167" fontId="2" fillId="4" borderId="27" xfId="6" applyNumberFormat="1" applyFont="1" applyFill="1" applyBorder="1" applyAlignment="1">
      <alignment horizontal="center" vertical="center" wrapText="1"/>
    </xf>
    <xf numFmtId="167" fontId="2" fillId="4" borderId="28" xfId="6" applyNumberFormat="1" applyFont="1" applyFill="1" applyBorder="1" applyAlignment="1">
      <alignment horizontal="center" vertical="center" wrapText="1"/>
    </xf>
    <xf numFmtId="168" fontId="2" fillId="4" borderId="29" xfId="6" applyNumberFormat="1" applyFont="1" applyFill="1" applyBorder="1" applyAlignment="1">
      <alignment horizontal="center" vertical="center" wrapText="1"/>
    </xf>
    <xf numFmtId="168" fontId="2" fillId="4" borderId="16" xfId="6" applyNumberFormat="1" applyFont="1" applyFill="1" applyBorder="1" applyAlignment="1">
      <alignment horizontal="center" vertical="center" wrapText="1"/>
    </xf>
    <xf numFmtId="168" fontId="2" fillId="4" borderId="34" xfId="6" applyNumberFormat="1" applyFont="1" applyFill="1" applyBorder="1" applyAlignment="1">
      <alignment horizontal="center" vertical="center" wrapText="1"/>
    </xf>
    <xf numFmtId="168" fontId="2" fillId="4" borderId="6" xfId="6" applyNumberFormat="1" applyFont="1" applyFill="1" applyBorder="1" applyAlignment="1">
      <alignment horizontal="center" vertical="center" wrapText="1"/>
    </xf>
    <xf numFmtId="168" fontId="2" fillId="4" borderId="17" xfId="6" applyNumberFormat="1" applyFont="1" applyFill="1" applyBorder="1" applyAlignment="1">
      <alignment horizontal="center" vertical="center" wrapText="1"/>
    </xf>
    <xf numFmtId="168" fontId="2" fillId="4" borderId="5" xfId="6" applyNumberFormat="1" applyFont="1" applyFill="1" applyBorder="1" applyAlignment="1">
      <alignment horizontal="center" vertical="center" wrapText="1"/>
    </xf>
    <xf numFmtId="167" fontId="2" fillId="4" borderId="2" xfId="6" applyNumberFormat="1" applyFont="1" applyFill="1" applyBorder="1" applyAlignment="1">
      <alignment horizontal="center" vertical="center" wrapText="1"/>
    </xf>
    <xf numFmtId="167" fontId="2" fillId="4" borderId="30" xfId="6" applyNumberFormat="1" applyFont="1" applyFill="1" applyBorder="1" applyAlignment="1">
      <alignment horizontal="center" vertical="center" wrapText="1"/>
    </xf>
    <xf numFmtId="169" fontId="2" fillId="4" borderId="2" xfId="6" applyNumberFormat="1" applyFont="1" applyFill="1" applyBorder="1" applyAlignment="1">
      <alignment horizontal="center" vertical="center" wrapText="1"/>
    </xf>
    <xf numFmtId="169" fontId="2" fillId="4" borderId="3" xfId="6" applyNumberFormat="1" applyFont="1" applyFill="1" applyBorder="1" applyAlignment="1">
      <alignment horizontal="center" vertical="center" wrapText="1"/>
    </xf>
    <xf numFmtId="169" fontId="2" fillId="4" borderId="30" xfId="6" applyNumberFormat="1" applyFont="1" applyFill="1" applyBorder="1" applyAlignment="1">
      <alignment horizontal="center" vertical="center" wrapText="1"/>
    </xf>
    <xf numFmtId="167" fontId="2" fillId="4" borderId="1" xfId="6" applyNumberFormat="1" applyFont="1" applyFill="1" applyBorder="1" applyAlignment="1">
      <alignment horizontal="center" vertical="center" wrapText="1"/>
    </xf>
    <xf numFmtId="0" fontId="0" fillId="0" borderId="0" xfId="0" applyFont="1"/>
  </cellXfs>
  <cellStyles count="9">
    <cellStyle name="20% — акцент2" xfId="4" builtinId="34"/>
    <cellStyle name="Обычный" xfId="0" builtinId="0"/>
    <cellStyle name="Обычный 105 2" xfId="5"/>
    <cellStyle name="Обычный 115 3" xfId="1"/>
    <cellStyle name="Обычный_Операционный бюджет 2008" xfId="6"/>
    <cellStyle name="Процентный 10" xfId="8"/>
    <cellStyle name="Процентный 34" xfId="3"/>
    <cellStyle name="Процентный 45" xfId="2"/>
    <cellStyle name="Финансовый_Операционный бюджет 2008" xfId="7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75" t="s">
        <v>0</v>
      </c>
      <c r="B1" s="76" t="s">
        <v>1</v>
      </c>
      <c r="C1" s="1">
        <v>2014</v>
      </c>
      <c r="D1" s="77">
        <v>2015</v>
      </c>
      <c r="E1" s="78"/>
      <c r="F1" s="78"/>
      <c r="G1" s="78"/>
      <c r="H1" s="79"/>
      <c r="I1" s="74" t="s">
        <v>2</v>
      </c>
      <c r="J1" s="74"/>
      <c r="K1" s="74"/>
      <c r="L1" s="74"/>
      <c r="M1" s="74"/>
      <c r="N1" s="74" t="s">
        <v>3</v>
      </c>
      <c r="O1" s="74"/>
      <c r="P1" s="74"/>
      <c r="Q1" s="74"/>
      <c r="R1" s="74"/>
      <c r="S1" s="73" t="s">
        <v>4</v>
      </c>
      <c r="T1" s="73"/>
      <c r="U1" s="73"/>
      <c r="V1" s="73"/>
      <c r="W1" s="73"/>
      <c r="X1" s="74" t="s">
        <v>5</v>
      </c>
      <c r="Y1" s="74"/>
      <c r="Z1" s="74"/>
      <c r="AA1" s="74"/>
      <c r="AB1" s="74"/>
    </row>
    <row r="2" spans="1:28" ht="15" customHeight="1" x14ac:dyDescent="0.25">
      <c r="A2" s="75"/>
      <c r="B2" s="76"/>
      <c r="C2" s="74" t="s">
        <v>6</v>
      </c>
      <c r="D2" s="74" t="s">
        <v>7</v>
      </c>
      <c r="E2" s="74" t="s">
        <v>6</v>
      </c>
      <c r="F2" s="74" t="s">
        <v>8</v>
      </c>
      <c r="G2" s="74" t="s">
        <v>9</v>
      </c>
      <c r="H2" s="74"/>
      <c r="I2" s="74" t="s">
        <v>7</v>
      </c>
      <c r="J2" s="74" t="s">
        <v>6</v>
      </c>
      <c r="K2" s="74" t="s">
        <v>8</v>
      </c>
      <c r="L2" s="74" t="s">
        <v>9</v>
      </c>
      <c r="M2" s="74"/>
      <c r="N2" s="74" t="s">
        <v>7</v>
      </c>
      <c r="O2" s="74" t="s">
        <v>6</v>
      </c>
      <c r="P2" s="74" t="s">
        <v>8</v>
      </c>
      <c r="Q2" s="74" t="s">
        <v>9</v>
      </c>
      <c r="R2" s="74"/>
      <c r="S2" s="74" t="s">
        <v>7</v>
      </c>
      <c r="T2" s="74" t="s">
        <v>6</v>
      </c>
      <c r="U2" s="74" t="s">
        <v>8</v>
      </c>
      <c r="V2" s="74" t="s">
        <v>9</v>
      </c>
      <c r="W2" s="74"/>
      <c r="X2" s="74" t="s">
        <v>7</v>
      </c>
      <c r="Y2" s="74" t="s">
        <v>6</v>
      </c>
      <c r="Z2" s="74" t="s">
        <v>8</v>
      </c>
      <c r="AA2" s="74" t="s">
        <v>9</v>
      </c>
      <c r="AB2" s="74"/>
    </row>
    <row r="3" spans="1:28" x14ac:dyDescent="0.25">
      <c r="A3" s="75"/>
      <c r="B3" s="76"/>
      <c r="C3" s="74"/>
      <c r="D3" s="74"/>
      <c r="E3" s="74"/>
      <c r="F3" s="74"/>
      <c r="G3" s="1" t="s">
        <v>10</v>
      </c>
      <c r="H3" s="1" t="s">
        <v>11</v>
      </c>
      <c r="I3" s="74"/>
      <c r="J3" s="74"/>
      <c r="K3" s="74"/>
      <c r="L3" s="1" t="s">
        <v>10</v>
      </c>
      <c r="M3" s="1" t="s">
        <v>11</v>
      </c>
      <c r="N3" s="74"/>
      <c r="O3" s="74"/>
      <c r="P3" s="74"/>
      <c r="Q3" s="1" t="s">
        <v>10</v>
      </c>
      <c r="R3" s="1" t="s">
        <v>11</v>
      </c>
      <c r="S3" s="74"/>
      <c r="T3" s="74"/>
      <c r="U3" s="74"/>
      <c r="V3" s="1" t="s">
        <v>10</v>
      </c>
      <c r="W3" s="1" t="s">
        <v>11</v>
      </c>
      <c r="X3" s="74"/>
      <c r="Y3" s="74"/>
      <c r="Z3" s="74"/>
      <c r="AA3" s="1" t="s">
        <v>10</v>
      </c>
      <c r="AB3" s="1" t="s">
        <v>11</v>
      </c>
    </row>
    <row r="4" spans="1:28" ht="18.75" x14ac:dyDescent="0.3">
      <c r="A4" s="3" t="str">
        <f ca="1"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 ca="1">'[1]БДР РСБУ $(old)'!E8</f>
        <v>0</v>
      </c>
      <c r="F8" s="11">
        <f ca="1">'[1]БДР РСБУ $(old)'!F8</f>
        <v>0</v>
      </c>
      <c r="G8" s="7">
        <f ca="1">E8-D8</f>
        <v>0</v>
      </c>
      <c r="H8" s="8" t="str">
        <f ca="1">IFERROR(E8/D8-1,"-")</f>
        <v>-</v>
      </c>
      <c r="I8" s="11">
        <f ca="1">'[1]БДР РСБУ $(old)'!I8</f>
        <v>0</v>
      </c>
      <c r="J8" s="11">
        <f ca="1">'[1]БДР РСБУ $(old)'!J8</f>
        <v>0</v>
      </c>
      <c r="K8" s="11">
        <f ca="1">'[1]БДР РСБУ $(old)'!K8</f>
        <v>0</v>
      </c>
      <c r="L8" s="7">
        <f ca="1">J8-I8</f>
        <v>0</v>
      </c>
      <c r="M8" s="8" t="str">
        <f ca="1">IFERROR(J8/I8-1,"-")</f>
        <v>-</v>
      </c>
      <c r="N8" s="11">
        <f ca="1">'[1]БДР РСБУ $(old)'!N8</f>
        <v>0</v>
      </c>
      <c r="O8" s="11">
        <f ca="1">'[1]БДР РСБУ $(old)'!O8</f>
        <v>0</v>
      </c>
      <c r="P8" s="11">
        <f ca="1">'[1]БДР РСБУ $(old)'!P8</f>
        <v>0</v>
      </c>
      <c r="Q8" s="7">
        <f ca="1">O8-N8</f>
        <v>0</v>
      </c>
      <c r="R8" s="8" t="str">
        <f ca="1">IFERROR(O8/N8-1,"-")</f>
        <v>-</v>
      </c>
      <c r="S8" s="11">
        <f ca="1">'[1]БДР РСБУ $(old)'!S8</f>
        <v>0</v>
      </c>
      <c r="T8" s="11">
        <f ca="1">'[1]БДР РСБУ $(old)'!T8</f>
        <v>0</v>
      </c>
      <c r="U8" s="11">
        <f ca="1">'[1]БДР РСБУ $(old)'!U8</f>
        <v>0</v>
      </c>
      <c r="V8" s="7">
        <f ca="1">T8-S8</f>
        <v>0</v>
      </c>
      <c r="W8" s="8" t="str">
        <f ca="1">IFERROR(T8/S8-1,"-")</f>
        <v>-</v>
      </c>
      <c r="X8" s="11">
        <f ca="1">'[1]БДР РСБУ $(old)'!X8</f>
        <v>0</v>
      </c>
      <c r="Y8" s="11">
        <f ca="1">'[1]БДР РСБУ $(old)'!Y8</f>
        <v>0</v>
      </c>
      <c r="Z8" s="11">
        <f ca="1">'[1]БДР РСБУ $(old)'!Z8</f>
        <v>0</v>
      </c>
      <c r="AA8" s="7">
        <f ca="1">Y8-X8</f>
        <v>0</v>
      </c>
      <c r="AB8" s="8" t="str">
        <f ca="1"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N1:R1"/>
    <mergeCell ref="A1:A3"/>
    <mergeCell ref="B1:B3"/>
    <mergeCell ref="D1:H1"/>
    <mergeCell ref="I1:M1"/>
    <mergeCell ref="D2:D3"/>
    <mergeCell ref="E2:E3"/>
    <mergeCell ref="F2:F3"/>
    <mergeCell ref="G2:H2"/>
    <mergeCell ref="I2:I3"/>
    <mergeCell ref="K2:K3"/>
    <mergeCell ref="L2:M2"/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Z2:Z3"/>
    <mergeCell ref="AA2:AB2"/>
    <mergeCell ref="N2:N3"/>
    <mergeCell ref="O2:O3"/>
    <mergeCell ref="P2:P3"/>
    <mergeCell ref="Q2:R2"/>
  </mergeCells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95</v>
      </c>
      <c r="B1" s="46" t="s">
        <v>48</v>
      </c>
      <c r="F1" t="s">
        <v>96</v>
      </c>
      <c r="G1" s="89" t="s">
        <v>61</v>
      </c>
      <c r="H1" s="89"/>
      <c r="I1" s="89"/>
      <c r="J1" s="47"/>
    </row>
    <row r="2" spans="1:10" ht="38.25" x14ac:dyDescent="0.25">
      <c r="A2" t="s">
        <v>49</v>
      </c>
      <c r="B2" s="46" t="s">
        <v>49</v>
      </c>
      <c r="F2" s="12" t="s">
        <v>119</v>
      </c>
      <c r="G2" s="90" t="s">
        <v>62</v>
      </c>
      <c r="H2" s="90"/>
      <c r="I2" s="90"/>
      <c r="J2" s="48"/>
    </row>
    <row r="3" spans="1:10" ht="38.25" x14ac:dyDescent="0.25">
      <c r="A3" t="s">
        <v>97</v>
      </c>
      <c r="B3" s="46" t="s">
        <v>50</v>
      </c>
      <c r="F3" t="s">
        <v>63</v>
      </c>
      <c r="G3" s="91" t="s">
        <v>63</v>
      </c>
      <c r="H3" s="91"/>
      <c r="I3" s="91"/>
      <c r="J3" s="48"/>
    </row>
    <row r="4" spans="1:10" x14ac:dyDescent="0.25">
      <c r="A4" s="12" t="s">
        <v>119</v>
      </c>
      <c r="B4" s="36" t="s">
        <v>51</v>
      </c>
      <c r="F4" t="s">
        <v>64</v>
      </c>
      <c r="G4" s="91" t="s">
        <v>64</v>
      </c>
      <c r="H4" s="91"/>
      <c r="I4" s="91"/>
      <c r="J4" s="48"/>
    </row>
    <row r="5" spans="1:10" ht="26.25" x14ac:dyDescent="0.25">
      <c r="B5" t="s">
        <v>52</v>
      </c>
      <c r="F5" t="s">
        <v>83</v>
      </c>
      <c r="G5" s="92" t="s">
        <v>65</v>
      </c>
      <c r="H5" s="93"/>
      <c r="I5" s="49" t="s">
        <v>83</v>
      </c>
      <c r="J5" s="48"/>
    </row>
    <row r="6" spans="1:10" ht="25.5" x14ac:dyDescent="0.25">
      <c r="B6" t="s">
        <v>53</v>
      </c>
      <c r="F6" t="s">
        <v>98</v>
      </c>
      <c r="G6" s="87"/>
      <c r="H6" s="88"/>
      <c r="I6" s="46" t="s">
        <v>84</v>
      </c>
      <c r="J6" t="s">
        <v>99</v>
      </c>
    </row>
    <row r="7" spans="1:10" x14ac:dyDescent="0.25">
      <c r="F7" t="s">
        <v>100</v>
      </c>
      <c r="G7" s="91" t="s">
        <v>66</v>
      </c>
      <c r="H7" s="91"/>
      <c r="I7" s="91"/>
      <c r="J7" t="s">
        <v>101</v>
      </c>
    </row>
    <row r="8" spans="1:10" x14ac:dyDescent="0.25">
      <c r="F8" s="12" t="s">
        <v>119</v>
      </c>
      <c r="G8" s="80" t="s">
        <v>67</v>
      </c>
      <c r="H8" s="80"/>
      <c r="I8" s="80"/>
      <c r="J8" t="s">
        <v>102</v>
      </c>
    </row>
    <row r="9" spans="1:10" x14ac:dyDescent="0.25">
      <c r="F9" t="s">
        <v>103</v>
      </c>
      <c r="G9" s="81" t="s">
        <v>68</v>
      </c>
      <c r="H9" s="82"/>
      <c r="I9" s="50" t="s">
        <v>85</v>
      </c>
      <c r="J9" t="s">
        <v>104</v>
      </c>
    </row>
    <row r="10" spans="1:10" x14ac:dyDescent="0.25">
      <c r="F10" t="s">
        <v>105</v>
      </c>
      <c r="G10" s="83"/>
      <c r="H10" s="84"/>
      <c r="I10" s="51" t="s">
        <v>73</v>
      </c>
      <c r="J10" t="s">
        <v>106</v>
      </c>
    </row>
    <row r="11" spans="1:10" x14ac:dyDescent="0.25">
      <c r="F11" t="s">
        <v>86</v>
      </c>
      <c r="G11" s="85" t="s">
        <v>65</v>
      </c>
      <c r="H11" s="86"/>
      <c r="I11" s="52" t="s">
        <v>86</v>
      </c>
      <c r="J11" t="s">
        <v>107</v>
      </c>
    </row>
    <row r="12" spans="1:10" x14ac:dyDescent="0.25">
      <c r="F12" t="s">
        <v>108</v>
      </c>
      <c r="G12" s="87"/>
      <c r="H12" s="88"/>
      <c r="I12" s="51" t="s">
        <v>87</v>
      </c>
      <c r="J12" t="s">
        <v>109</v>
      </c>
    </row>
    <row r="13" spans="1:10" x14ac:dyDescent="0.25">
      <c r="J13" t="s">
        <v>110</v>
      </c>
    </row>
    <row r="14" spans="1:10" x14ac:dyDescent="0.25">
      <c r="J14" t="s">
        <v>111</v>
      </c>
    </row>
    <row r="15" spans="1:10" x14ac:dyDescent="0.25">
      <c r="J15" t="s">
        <v>112</v>
      </c>
    </row>
    <row r="16" spans="1:10" x14ac:dyDescent="0.25">
      <c r="J16" t="s">
        <v>113</v>
      </c>
    </row>
    <row r="17" spans="1:10" x14ac:dyDescent="0.25">
      <c r="J17" t="s">
        <v>114</v>
      </c>
    </row>
    <row r="18" spans="1:10" x14ac:dyDescent="0.25">
      <c r="A18" t="s">
        <v>52</v>
      </c>
      <c r="B18" t="s">
        <v>53</v>
      </c>
      <c r="J18" t="s">
        <v>115</v>
      </c>
    </row>
    <row r="19" spans="1:10" x14ac:dyDescent="0.25">
      <c r="J19" t="s">
        <v>116</v>
      </c>
    </row>
    <row r="20" spans="1:10" x14ac:dyDescent="0.25">
      <c r="J20" t="s">
        <v>117</v>
      </c>
    </row>
    <row r="21" spans="1:10" x14ac:dyDescent="0.25">
      <c r="J21" t="s">
        <v>118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W17"/>
  <sheetViews>
    <sheetView tabSelected="1" topLeftCell="D3" workbookViewId="0">
      <selection activeCell="I12" sqref="I12"/>
    </sheetView>
  </sheetViews>
  <sheetFormatPr defaultRowHeight="15" x14ac:dyDescent="0.25"/>
  <cols>
    <col min="1" max="1" width="8.5703125" style="21" customWidth="1"/>
    <col min="2" max="2" width="51.5703125" style="21" customWidth="1"/>
    <col min="3" max="257" width="12.42578125" style="21" customWidth="1"/>
    <col min="258" max="16384" width="9.140625" style="21"/>
  </cols>
  <sheetData>
    <row r="1" spans="1:257" ht="15" customHeight="1" x14ac:dyDescent="0.25">
      <c r="A1" s="107" t="s">
        <v>0</v>
      </c>
      <c r="B1" s="108" t="s">
        <v>1</v>
      </c>
      <c r="C1" s="102" t="s">
        <v>12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1"/>
      <c r="R1" s="102" t="s">
        <v>28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1"/>
      <c r="AG1" s="102" t="s">
        <v>25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1"/>
      <c r="AV1" s="102" t="s">
        <v>26</v>
      </c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1"/>
      <c r="BK1" s="102" t="s">
        <v>27</v>
      </c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1"/>
      <c r="BZ1" s="102" t="s">
        <v>29</v>
      </c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1"/>
      <c r="CO1" s="102" t="s">
        <v>30</v>
      </c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1"/>
      <c r="DD1" s="95" t="s">
        <v>40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7"/>
      <c r="DS1" s="102" t="s">
        <v>31</v>
      </c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1"/>
      <c r="EH1" s="102" t="s">
        <v>32</v>
      </c>
      <c r="EI1" s="100"/>
      <c r="EJ1" s="100"/>
      <c r="EK1" s="100"/>
      <c r="EL1" s="100"/>
      <c r="EM1" s="100"/>
      <c r="EN1" s="100"/>
      <c r="EO1" s="100"/>
      <c r="EP1" s="100"/>
      <c r="EQ1" s="100"/>
      <c r="ER1" s="100"/>
      <c r="ES1" s="100"/>
      <c r="ET1" s="100"/>
      <c r="EU1" s="100"/>
      <c r="EV1" s="101"/>
      <c r="EW1" s="102" t="s">
        <v>33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1"/>
      <c r="FL1" s="102" t="s">
        <v>34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1"/>
      <c r="GA1" s="102" t="s">
        <v>35</v>
      </c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0"/>
      <c r="GO1" s="101"/>
      <c r="GP1" s="102" t="s">
        <v>36</v>
      </c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1"/>
      <c r="HE1" s="102" t="s">
        <v>37</v>
      </c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1"/>
      <c r="HT1" s="102" t="s">
        <v>38</v>
      </c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1"/>
      <c r="II1" s="99" t="s">
        <v>39</v>
      </c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1"/>
    </row>
    <row r="2" spans="1:257" ht="15" customHeight="1" x14ac:dyDescent="0.25">
      <c r="A2" s="107"/>
      <c r="B2" s="108"/>
      <c r="C2" s="102" t="s">
        <v>21</v>
      </c>
      <c r="D2" s="100"/>
      <c r="E2" s="100"/>
      <c r="F2" s="100"/>
      <c r="G2" s="101"/>
      <c r="H2" s="102" t="s">
        <v>22</v>
      </c>
      <c r="I2" s="100"/>
      <c r="J2" s="100"/>
      <c r="K2" s="100"/>
      <c r="L2" s="101"/>
      <c r="M2" s="102" t="s">
        <v>23</v>
      </c>
      <c r="N2" s="100"/>
      <c r="O2" s="100"/>
      <c r="P2" s="100"/>
      <c r="Q2" s="101"/>
      <c r="R2" s="102" t="s">
        <v>21</v>
      </c>
      <c r="S2" s="100"/>
      <c r="T2" s="100"/>
      <c r="U2" s="100"/>
      <c r="V2" s="101"/>
      <c r="W2" s="102" t="s">
        <v>22</v>
      </c>
      <c r="X2" s="100"/>
      <c r="Y2" s="100"/>
      <c r="Z2" s="100"/>
      <c r="AA2" s="101"/>
      <c r="AB2" s="102" t="s">
        <v>23</v>
      </c>
      <c r="AC2" s="100"/>
      <c r="AD2" s="100"/>
      <c r="AE2" s="100"/>
      <c r="AF2" s="101"/>
      <c r="AG2" s="102" t="s">
        <v>21</v>
      </c>
      <c r="AH2" s="100"/>
      <c r="AI2" s="100"/>
      <c r="AJ2" s="100"/>
      <c r="AK2" s="101"/>
      <c r="AL2" s="102" t="s">
        <v>22</v>
      </c>
      <c r="AM2" s="100"/>
      <c r="AN2" s="100"/>
      <c r="AO2" s="100"/>
      <c r="AP2" s="101"/>
      <c r="AQ2" s="102" t="s">
        <v>23</v>
      </c>
      <c r="AR2" s="100"/>
      <c r="AS2" s="100"/>
      <c r="AT2" s="100"/>
      <c r="AU2" s="101"/>
      <c r="AV2" s="102" t="s">
        <v>21</v>
      </c>
      <c r="AW2" s="100"/>
      <c r="AX2" s="100"/>
      <c r="AY2" s="100"/>
      <c r="AZ2" s="101"/>
      <c r="BA2" s="102" t="s">
        <v>22</v>
      </c>
      <c r="BB2" s="100"/>
      <c r="BC2" s="100"/>
      <c r="BD2" s="100"/>
      <c r="BE2" s="101"/>
      <c r="BF2" s="102" t="s">
        <v>23</v>
      </c>
      <c r="BG2" s="100"/>
      <c r="BH2" s="100"/>
      <c r="BI2" s="100"/>
      <c r="BJ2" s="101"/>
      <c r="BK2" s="102" t="s">
        <v>21</v>
      </c>
      <c r="BL2" s="100"/>
      <c r="BM2" s="100"/>
      <c r="BN2" s="100"/>
      <c r="BO2" s="101"/>
      <c r="BP2" s="102" t="s">
        <v>22</v>
      </c>
      <c r="BQ2" s="100"/>
      <c r="BR2" s="100"/>
      <c r="BS2" s="100"/>
      <c r="BT2" s="101"/>
      <c r="BU2" s="102" t="s">
        <v>23</v>
      </c>
      <c r="BV2" s="100"/>
      <c r="BW2" s="100"/>
      <c r="BX2" s="100"/>
      <c r="BY2" s="101"/>
      <c r="BZ2" s="102" t="s">
        <v>21</v>
      </c>
      <c r="CA2" s="100"/>
      <c r="CB2" s="100"/>
      <c r="CC2" s="100"/>
      <c r="CD2" s="101"/>
      <c r="CE2" s="102" t="s">
        <v>22</v>
      </c>
      <c r="CF2" s="100"/>
      <c r="CG2" s="100"/>
      <c r="CH2" s="100"/>
      <c r="CI2" s="101"/>
      <c r="CJ2" s="102" t="s">
        <v>23</v>
      </c>
      <c r="CK2" s="100"/>
      <c r="CL2" s="100"/>
      <c r="CM2" s="100"/>
      <c r="CN2" s="101"/>
      <c r="CO2" s="102" t="s">
        <v>21</v>
      </c>
      <c r="CP2" s="100"/>
      <c r="CQ2" s="100"/>
      <c r="CR2" s="100"/>
      <c r="CS2" s="101"/>
      <c r="CT2" s="102" t="s">
        <v>22</v>
      </c>
      <c r="CU2" s="100"/>
      <c r="CV2" s="100"/>
      <c r="CW2" s="100"/>
      <c r="CX2" s="101"/>
      <c r="CY2" s="102" t="s">
        <v>23</v>
      </c>
      <c r="CZ2" s="100"/>
      <c r="DA2" s="100"/>
      <c r="DB2" s="100"/>
      <c r="DC2" s="101"/>
      <c r="DD2" s="98" t="s">
        <v>21</v>
      </c>
      <c r="DE2" s="96"/>
      <c r="DF2" s="96"/>
      <c r="DG2" s="96"/>
      <c r="DH2" s="97"/>
      <c r="DI2" s="98" t="s">
        <v>22</v>
      </c>
      <c r="DJ2" s="96"/>
      <c r="DK2" s="96"/>
      <c r="DL2" s="96"/>
      <c r="DM2" s="97"/>
      <c r="DN2" s="98" t="s">
        <v>23</v>
      </c>
      <c r="DO2" s="96"/>
      <c r="DP2" s="96"/>
      <c r="DQ2" s="96"/>
      <c r="DR2" s="97"/>
      <c r="DS2" s="102" t="s">
        <v>21</v>
      </c>
      <c r="DT2" s="100"/>
      <c r="DU2" s="100"/>
      <c r="DV2" s="100"/>
      <c r="DW2" s="101"/>
      <c r="DX2" s="102" t="s">
        <v>22</v>
      </c>
      <c r="DY2" s="100"/>
      <c r="DZ2" s="100"/>
      <c r="EA2" s="100"/>
      <c r="EB2" s="101"/>
      <c r="EC2" s="102" t="s">
        <v>23</v>
      </c>
      <c r="ED2" s="100"/>
      <c r="EE2" s="100"/>
      <c r="EF2" s="100"/>
      <c r="EG2" s="101"/>
      <c r="EH2" s="102" t="s">
        <v>21</v>
      </c>
      <c r="EI2" s="100"/>
      <c r="EJ2" s="100"/>
      <c r="EK2" s="100"/>
      <c r="EL2" s="101"/>
      <c r="EM2" s="102" t="s">
        <v>22</v>
      </c>
      <c r="EN2" s="100"/>
      <c r="EO2" s="100"/>
      <c r="EP2" s="100"/>
      <c r="EQ2" s="101"/>
      <c r="ER2" s="102" t="s">
        <v>23</v>
      </c>
      <c r="ES2" s="100"/>
      <c r="ET2" s="100"/>
      <c r="EU2" s="100"/>
      <c r="EV2" s="101"/>
      <c r="EW2" s="102" t="s">
        <v>21</v>
      </c>
      <c r="EX2" s="100"/>
      <c r="EY2" s="100"/>
      <c r="EZ2" s="100"/>
      <c r="FA2" s="101"/>
      <c r="FB2" s="102" t="s">
        <v>22</v>
      </c>
      <c r="FC2" s="100"/>
      <c r="FD2" s="100"/>
      <c r="FE2" s="100"/>
      <c r="FF2" s="101"/>
      <c r="FG2" s="102" t="s">
        <v>23</v>
      </c>
      <c r="FH2" s="100"/>
      <c r="FI2" s="100"/>
      <c r="FJ2" s="100"/>
      <c r="FK2" s="101"/>
      <c r="FL2" s="102" t="s">
        <v>21</v>
      </c>
      <c r="FM2" s="100"/>
      <c r="FN2" s="100"/>
      <c r="FO2" s="100"/>
      <c r="FP2" s="101"/>
      <c r="FQ2" s="102" t="s">
        <v>22</v>
      </c>
      <c r="FR2" s="100"/>
      <c r="FS2" s="100"/>
      <c r="FT2" s="100"/>
      <c r="FU2" s="101"/>
      <c r="FV2" s="102" t="s">
        <v>23</v>
      </c>
      <c r="FW2" s="100"/>
      <c r="FX2" s="100"/>
      <c r="FY2" s="100"/>
      <c r="FZ2" s="101"/>
      <c r="GA2" s="102" t="s">
        <v>21</v>
      </c>
      <c r="GB2" s="100"/>
      <c r="GC2" s="100"/>
      <c r="GD2" s="100"/>
      <c r="GE2" s="101"/>
      <c r="GF2" s="102" t="s">
        <v>22</v>
      </c>
      <c r="GG2" s="100"/>
      <c r="GH2" s="100"/>
      <c r="GI2" s="100"/>
      <c r="GJ2" s="101"/>
      <c r="GK2" s="102" t="s">
        <v>23</v>
      </c>
      <c r="GL2" s="100"/>
      <c r="GM2" s="100"/>
      <c r="GN2" s="100"/>
      <c r="GO2" s="101"/>
      <c r="GP2" s="102" t="s">
        <v>21</v>
      </c>
      <c r="GQ2" s="100"/>
      <c r="GR2" s="100"/>
      <c r="GS2" s="100"/>
      <c r="GT2" s="101"/>
      <c r="GU2" s="102" t="s">
        <v>22</v>
      </c>
      <c r="GV2" s="100"/>
      <c r="GW2" s="100"/>
      <c r="GX2" s="100"/>
      <c r="GY2" s="101"/>
      <c r="GZ2" s="102" t="s">
        <v>23</v>
      </c>
      <c r="HA2" s="100"/>
      <c r="HB2" s="100"/>
      <c r="HC2" s="100"/>
      <c r="HD2" s="101"/>
      <c r="HE2" s="102" t="s">
        <v>21</v>
      </c>
      <c r="HF2" s="100"/>
      <c r="HG2" s="100"/>
      <c r="HH2" s="100"/>
      <c r="HI2" s="101"/>
      <c r="HJ2" s="102" t="s">
        <v>22</v>
      </c>
      <c r="HK2" s="100"/>
      <c r="HL2" s="100"/>
      <c r="HM2" s="100"/>
      <c r="HN2" s="101"/>
      <c r="HO2" s="102" t="s">
        <v>23</v>
      </c>
      <c r="HP2" s="100"/>
      <c r="HQ2" s="100"/>
      <c r="HR2" s="100"/>
      <c r="HS2" s="101"/>
      <c r="HT2" s="102" t="s">
        <v>21</v>
      </c>
      <c r="HU2" s="100"/>
      <c r="HV2" s="100"/>
      <c r="HW2" s="100"/>
      <c r="HX2" s="101"/>
      <c r="HY2" s="102" t="s">
        <v>22</v>
      </c>
      <c r="HZ2" s="100"/>
      <c r="IA2" s="100"/>
      <c r="IB2" s="100"/>
      <c r="IC2" s="101"/>
      <c r="ID2" s="102" t="s">
        <v>23</v>
      </c>
      <c r="IE2" s="100"/>
      <c r="IF2" s="100"/>
      <c r="IG2" s="100"/>
      <c r="IH2" s="101"/>
      <c r="II2" s="102" t="s">
        <v>21</v>
      </c>
      <c r="IJ2" s="100"/>
      <c r="IK2" s="100"/>
      <c r="IL2" s="100"/>
      <c r="IM2" s="101"/>
      <c r="IN2" s="102" t="s">
        <v>22</v>
      </c>
      <c r="IO2" s="100"/>
      <c r="IP2" s="100"/>
      <c r="IQ2" s="100"/>
      <c r="IR2" s="101"/>
      <c r="IS2" s="102" t="s">
        <v>23</v>
      </c>
      <c r="IT2" s="100"/>
      <c r="IU2" s="100"/>
      <c r="IV2" s="100"/>
      <c r="IW2" s="101"/>
    </row>
    <row r="3" spans="1:257" ht="15" customHeight="1" x14ac:dyDescent="0.25">
      <c r="A3" s="107"/>
      <c r="B3" s="108"/>
      <c r="C3" s="94" t="s">
        <v>7</v>
      </c>
      <c r="D3" s="94" t="s">
        <v>6</v>
      </c>
      <c r="E3" s="94" t="s">
        <v>8</v>
      </c>
      <c r="F3" s="94" t="s">
        <v>24</v>
      </c>
      <c r="G3" s="94"/>
      <c r="H3" s="94" t="s">
        <v>7</v>
      </c>
      <c r="I3" s="94" t="s">
        <v>6</v>
      </c>
      <c r="J3" s="94" t="s">
        <v>8</v>
      </c>
      <c r="K3" s="94" t="s">
        <v>24</v>
      </c>
      <c r="L3" s="94"/>
      <c r="M3" s="94" t="s">
        <v>7</v>
      </c>
      <c r="N3" s="94" t="s">
        <v>6</v>
      </c>
      <c r="O3" s="94" t="s">
        <v>8</v>
      </c>
      <c r="P3" s="94" t="s">
        <v>24</v>
      </c>
      <c r="Q3" s="94"/>
      <c r="R3" s="94" t="s">
        <v>7</v>
      </c>
      <c r="S3" s="94" t="s">
        <v>6</v>
      </c>
      <c r="T3" s="94" t="s">
        <v>8</v>
      </c>
      <c r="U3" s="94" t="s">
        <v>24</v>
      </c>
      <c r="V3" s="94"/>
      <c r="W3" s="94" t="s">
        <v>7</v>
      </c>
      <c r="X3" s="94" t="s">
        <v>6</v>
      </c>
      <c r="Y3" s="94" t="s">
        <v>8</v>
      </c>
      <c r="Z3" s="94" t="s">
        <v>24</v>
      </c>
      <c r="AA3" s="94"/>
      <c r="AB3" s="94" t="s">
        <v>7</v>
      </c>
      <c r="AC3" s="94" t="s">
        <v>6</v>
      </c>
      <c r="AD3" s="94" t="s">
        <v>8</v>
      </c>
      <c r="AE3" s="94" t="s">
        <v>24</v>
      </c>
      <c r="AF3" s="94"/>
      <c r="AG3" s="94" t="s">
        <v>7</v>
      </c>
      <c r="AH3" s="94" t="s">
        <v>6</v>
      </c>
      <c r="AI3" s="94" t="s">
        <v>8</v>
      </c>
      <c r="AJ3" s="94" t="s">
        <v>24</v>
      </c>
      <c r="AK3" s="94"/>
      <c r="AL3" s="94" t="s">
        <v>7</v>
      </c>
      <c r="AM3" s="94" t="s">
        <v>6</v>
      </c>
      <c r="AN3" s="94" t="s">
        <v>8</v>
      </c>
      <c r="AO3" s="94" t="s">
        <v>24</v>
      </c>
      <c r="AP3" s="94"/>
      <c r="AQ3" s="94" t="s">
        <v>7</v>
      </c>
      <c r="AR3" s="94" t="s">
        <v>6</v>
      </c>
      <c r="AS3" s="94" t="s">
        <v>8</v>
      </c>
      <c r="AT3" s="94" t="s">
        <v>24</v>
      </c>
      <c r="AU3" s="94"/>
      <c r="AV3" s="94" t="s">
        <v>7</v>
      </c>
      <c r="AW3" s="94" t="s">
        <v>6</v>
      </c>
      <c r="AX3" s="94" t="s">
        <v>8</v>
      </c>
      <c r="AY3" s="94" t="s">
        <v>24</v>
      </c>
      <c r="AZ3" s="94"/>
      <c r="BA3" s="94" t="s">
        <v>7</v>
      </c>
      <c r="BB3" s="94" t="s">
        <v>6</v>
      </c>
      <c r="BC3" s="94" t="s">
        <v>8</v>
      </c>
      <c r="BD3" s="94" t="s">
        <v>24</v>
      </c>
      <c r="BE3" s="94"/>
      <c r="BF3" s="94" t="s">
        <v>7</v>
      </c>
      <c r="BG3" s="94" t="s">
        <v>6</v>
      </c>
      <c r="BH3" s="94" t="s">
        <v>8</v>
      </c>
      <c r="BI3" s="94" t="s">
        <v>24</v>
      </c>
      <c r="BJ3" s="94"/>
      <c r="BK3" s="94" t="s">
        <v>7</v>
      </c>
      <c r="BL3" s="94" t="s">
        <v>6</v>
      </c>
      <c r="BM3" s="94" t="s">
        <v>8</v>
      </c>
      <c r="BN3" s="94" t="s">
        <v>24</v>
      </c>
      <c r="BO3" s="94"/>
      <c r="BP3" s="94" t="s">
        <v>7</v>
      </c>
      <c r="BQ3" s="94" t="s">
        <v>6</v>
      </c>
      <c r="BR3" s="94" t="s">
        <v>8</v>
      </c>
      <c r="BS3" s="94" t="s">
        <v>24</v>
      </c>
      <c r="BT3" s="94"/>
      <c r="BU3" s="94" t="s">
        <v>7</v>
      </c>
      <c r="BV3" s="94" t="s">
        <v>6</v>
      </c>
      <c r="BW3" s="94" t="s">
        <v>8</v>
      </c>
      <c r="BX3" s="94" t="s">
        <v>24</v>
      </c>
      <c r="BY3" s="94"/>
      <c r="BZ3" s="94" t="s">
        <v>7</v>
      </c>
      <c r="CA3" s="94" t="s">
        <v>6</v>
      </c>
      <c r="CB3" s="94" t="s">
        <v>8</v>
      </c>
      <c r="CC3" s="94" t="s">
        <v>24</v>
      </c>
      <c r="CD3" s="94"/>
      <c r="CE3" s="94" t="s">
        <v>7</v>
      </c>
      <c r="CF3" s="94" t="s">
        <v>6</v>
      </c>
      <c r="CG3" s="94" t="s">
        <v>8</v>
      </c>
      <c r="CH3" s="94" t="s">
        <v>24</v>
      </c>
      <c r="CI3" s="94"/>
      <c r="CJ3" s="94" t="s">
        <v>7</v>
      </c>
      <c r="CK3" s="94" t="s">
        <v>6</v>
      </c>
      <c r="CL3" s="94" t="s">
        <v>8</v>
      </c>
      <c r="CM3" s="94" t="s">
        <v>24</v>
      </c>
      <c r="CN3" s="94"/>
      <c r="CO3" s="94" t="s">
        <v>7</v>
      </c>
      <c r="CP3" s="94" t="s">
        <v>6</v>
      </c>
      <c r="CQ3" s="94" t="s">
        <v>8</v>
      </c>
      <c r="CR3" s="94" t="s">
        <v>24</v>
      </c>
      <c r="CS3" s="94"/>
      <c r="CT3" s="94" t="s">
        <v>7</v>
      </c>
      <c r="CU3" s="94" t="s">
        <v>6</v>
      </c>
      <c r="CV3" s="94" t="s">
        <v>8</v>
      </c>
      <c r="CW3" s="94" t="s">
        <v>24</v>
      </c>
      <c r="CX3" s="94"/>
      <c r="CY3" s="94" t="s">
        <v>7</v>
      </c>
      <c r="CZ3" s="94" t="s">
        <v>6</v>
      </c>
      <c r="DA3" s="94" t="s">
        <v>8</v>
      </c>
      <c r="DB3" s="94" t="s">
        <v>24</v>
      </c>
      <c r="DC3" s="94"/>
      <c r="DD3" s="94" t="s">
        <v>7</v>
      </c>
      <c r="DE3" s="94" t="s">
        <v>6</v>
      </c>
      <c r="DF3" s="94" t="s">
        <v>8</v>
      </c>
      <c r="DG3" s="94" t="s">
        <v>24</v>
      </c>
      <c r="DH3" s="94"/>
      <c r="DI3" s="94" t="s">
        <v>7</v>
      </c>
      <c r="DJ3" s="94" t="s">
        <v>6</v>
      </c>
      <c r="DK3" s="94" t="s">
        <v>8</v>
      </c>
      <c r="DL3" s="94" t="s">
        <v>24</v>
      </c>
      <c r="DM3" s="94"/>
      <c r="DN3" s="94" t="s">
        <v>7</v>
      </c>
      <c r="DO3" s="94" t="s">
        <v>6</v>
      </c>
      <c r="DP3" s="94" t="s">
        <v>8</v>
      </c>
      <c r="DQ3" s="94" t="s">
        <v>24</v>
      </c>
      <c r="DR3" s="94"/>
      <c r="DS3" s="103" t="s">
        <v>7</v>
      </c>
      <c r="DT3" s="103" t="s">
        <v>6</v>
      </c>
      <c r="DU3" s="103" t="s">
        <v>8</v>
      </c>
      <c r="DV3" s="105" t="s">
        <v>24</v>
      </c>
      <c r="DW3" s="106"/>
      <c r="DX3" s="103" t="s">
        <v>7</v>
      </c>
      <c r="DY3" s="103" t="s">
        <v>6</v>
      </c>
      <c r="DZ3" s="103" t="s">
        <v>8</v>
      </c>
      <c r="EA3" s="105" t="s">
        <v>24</v>
      </c>
      <c r="EB3" s="106"/>
      <c r="EC3" s="103" t="s">
        <v>7</v>
      </c>
      <c r="ED3" s="103" t="s">
        <v>6</v>
      </c>
      <c r="EE3" s="103" t="s">
        <v>8</v>
      </c>
      <c r="EF3" s="105" t="s">
        <v>24</v>
      </c>
      <c r="EG3" s="106"/>
      <c r="EH3" s="94" t="s">
        <v>7</v>
      </c>
      <c r="EI3" s="94" t="s">
        <v>6</v>
      </c>
      <c r="EJ3" s="94" t="s">
        <v>8</v>
      </c>
      <c r="EK3" s="94" t="s">
        <v>24</v>
      </c>
      <c r="EL3" s="94"/>
      <c r="EM3" s="94" t="s">
        <v>7</v>
      </c>
      <c r="EN3" s="94" t="s">
        <v>6</v>
      </c>
      <c r="EO3" s="94" t="s">
        <v>8</v>
      </c>
      <c r="EP3" s="94" t="s">
        <v>24</v>
      </c>
      <c r="EQ3" s="94"/>
      <c r="ER3" s="94" t="s">
        <v>7</v>
      </c>
      <c r="ES3" s="94" t="s">
        <v>6</v>
      </c>
      <c r="ET3" s="94" t="s">
        <v>8</v>
      </c>
      <c r="EU3" s="94" t="s">
        <v>24</v>
      </c>
      <c r="EV3" s="94"/>
      <c r="EW3" s="94" t="s">
        <v>7</v>
      </c>
      <c r="EX3" s="94" t="s">
        <v>6</v>
      </c>
      <c r="EY3" s="94" t="s">
        <v>8</v>
      </c>
      <c r="EZ3" s="94" t="s">
        <v>24</v>
      </c>
      <c r="FA3" s="94"/>
      <c r="FB3" s="94" t="s">
        <v>7</v>
      </c>
      <c r="FC3" s="94" t="s">
        <v>6</v>
      </c>
      <c r="FD3" s="94" t="s">
        <v>8</v>
      </c>
      <c r="FE3" s="94" t="s">
        <v>24</v>
      </c>
      <c r="FF3" s="94"/>
      <c r="FG3" s="94" t="s">
        <v>7</v>
      </c>
      <c r="FH3" s="94" t="s">
        <v>6</v>
      </c>
      <c r="FI3" s="94" t="s">
        <v>8</v>
      </c>
      <c r="FJ3" s="94" t="s">
        <v>24</v>
      </c>
      <c r="FK3" s="94"/>
      <c r="FL3" s="94" t="s">
        <v>7</v>
      </c>
      <c r="FM3" s="94" t="s">
        <v>6</v>
      </c>
      <c r="FN3" s="94" t="s">
        <v>8</v>
      </c>
      <c r="FO3" s="94" t="s">
        <v>24</v>
      </c>
      <c r="FP3" s="94"/>
      <c r="FQ3" s="94" t="s">
        <v>7</v>
      </c>
      <c r="FR3" s="94" t="s">
        <v>6</v>
      </c>
      <c r="FS3" s="94" t="s">
        <v>8</v>
      </c>
      <c r="FT3" s="94" t="s">
        <v>24</v>
      </c>
      <c r="FU3" s="94"/>
      <c r="FV3" s="94" t="s">
        <v>7</v>
      </c>
      <c r="FW3" s="94" t="s">
        <v>6</v>
      </c>
      <c r="FX3" s="94" t="s">
        <v>8</v>
      </c>
      <c r="FY3" s="94" t="s">
        <v>24</v>
      </c>
      <c r="FZ3" s="94"/>
      <c r="GA3" s="94" t="s">
        <v>7</v>
      </c>
      <c r="GB3" s="94" t="s">
        <v>6</v>
      </c>
      <c r="GC3" s="94" t="s">
        <v>8</v>
      </c>
      <c r="GD3" s="94" t="s">
        <v>24</v>
      </c>
      <c r="GE3" s="94"/>
      <c r="GF3" s="94" t="s">
        <v>7</v>
      </c>
      <c r="GG3" s="94" t="s">
        <v>6</v>
      </c>
      <c r="GH3" s="94" t="s">
        <v>8</v>
      </c>
      <c r="GI3" s="94" t="s">
        <v>24</v>
      </c>
      <c r="GJ3" s="94"/>
      <c r="GK3" s="94" t="s">
        <v>7</v>
      </c>
      <c r="GL3" s="94" t="s">
        <v>6</v>
      </c>
      <c r="GM3" s="94" t="s">
        <v>8</v>
      </c>
      <c r="GN3" s="94" t="s">
        <v>24</v>
      </c>
      <c r="GO3" s="94"/>
      <c r="GP3" s="94" t="s">
        <v>7</v>
      </c>
      <c r="GQ3" s="94" t="s">
        <v>6</v>
      </c>
      <c r="GR3" s="94" t="s">
        <v>8</v>
      </c>
      <c r="GS3" s="94" t="s">
        <v>24</v>
      </c>
      <c r="GT3" s="94"/>
      <c r="GU3" s="94" t="s">
        <v>7</v>
      </c>
      <c r="GV3" s="94" t="s">
        <v>6</v>
      </c>
      <c r="GW3" s="94" t="s">
        <v>8</v>
      </c>
      <c r="GX3" s="94" t="s">
        <v>24</v>
      </c>
      <c r="GY3" s="94"/>
      <c r="GZ3" s="94" t="s">
        <v>7</v>
      </c>
      <c r="HA3" s="94" t="s">
        <v>6</v>
      </c>
      <c r="HB3" s="94" t="s">
        <v>8</v>
      </c>
      <c r="HC3" s="94" t="s">
        <v>24</v>
      </c>
      <c r="HD3" s="94"/>
      <c r="HE3" s="94" t="s">
        <v>7</v>
      </c>
      <c r="HF3" s="94" t="s">
        <v>6</v>
      </c>
      <c r="HG3" s="94" t="s">
        <v>8</v>
      </c>
      <c r="HH3" s="94" t="s">
        <v>24</v>
      </c>
      <c r="HI3" s="94"/>
      <c r="HJ3" s="94" t="s">
        <v>7</v>
      </c>
      <c r="HK3" s="94" t="s">
        <v>6</v>
      </c>
      <c r="HL3" s="94" t="s">
        <v>8</v>
      </c>
      <c r="HM3" s="94" t="s">
        <v>24</v>
      </c>
      <c r="HN3" s="94"/>
      <c r="HO3" s="94" t="s">
        <v>7</v>
      </c>
      <c r="HP3" s="94" t="s">
        <v>6</v>
      </c>
      <c r="HQ3" s="94" t="s">
        <v>8</v>
      </c>
      <c r="HR3" s="94" t="s">
        <v>24</v>
      </c>
      <c r="HS3" s="94"/>
      <c r="HT3" s="94" t="s">
        <v>7</v>
      </c>
      <c r="HU3" s="94" t="s">
        <v>6</v>
      </c>
      <c r="HV3" s="94" t="s">
        <v>8</v>
      </c>
      <c r="HW3" s="94" t="s">
        <v>24</v>
      </c>
      <c r="HX3" s="94"/>
      <c r="HY3" s="94" t="s">
        <v>7</v>
      </c>
      <c r="HZ3" s="94" t="s">
        <v>6</v>
      </c>
      <c r="IA3" s="94" t="s">
        <v>8</v>
      </c>
      <c r="IB3" s="94" t="s">
        <v>24</v>
      </c>
      <c r="IC3" s="94"/>
      <c r="ID3" s="94" t="s">
        <v>7</v>
      </c>
      <c r="IE3" s="94" t="s">
        <v>6</v>
      </c>
      <c r="IF3" s="94" t="s">
        <v>8</v>
      </c>
      <c r="IG3" s="94" t="s">
        <v>24</v>
      </c>
      <c r="IH3" s="94"/>
      <c r="II3" s="94" t="s">
        <v>7</v>
      </c>
      <c r="IJ3" s="94" t="s">
        <v>6</v>
      </c>
      <c r="IK3" s="94" t="s">
        <v>8</v>
      </c>
      <c r="IL3" s="94" t="s">
        <v>24</v>
      </c>
      <c r="IM3" s="94"/>
      <c r="IN3" s="94" t="s">
        <v>7</v>
      </c>
      <c r="IO3" s="94" t="s">
        <v>6</v>
      </c>
      <c r="IP3" s="94" t="s">
        <v>8</v>
      </c>
      <c r="IQ3" s="94" t="s">
        <v>24</v>
      </c>
      <c r="IR3" s="94"/>
      <c r="IS3" s="94" t="s">
        <v>7</v>
      </c>
      <c r="IT3" s="94" t="s">
        <v>6</v>
      </c>
      <c r="IU3" s="94" t="s">
        <v>8</v>
      </c>
      <c r="IV3" s="94" t="s">
        <v>24</v>
      </c>
      <c r="IW3" s="94"/>
    </row>
    <row r="4" spans="1:257" ht="15" customHeight="1" x14ac:dyDescent="0.25">
      <c r="A4" s="107"/>
      <c r="B4" s="108"/>
      <c r="C4" s="94"/>
      <c r="D4" s="94"/>
      <c r="E4" s="94"/>
      <c r="F4" s="18" t="s">
        <v>10</v>
      </c>
      <c r="G4" s="18" t="s">
        <v>11</v>
      </c>
      <c r="H4" s="94"/>
      <c r="I4" s="94"/>
      <c r="J4" s="94"/>
      <c r="K4" s="18" t="s">
        <v>10</v>
      </c>
      <c r="L4" s="18" t="s">
        <v>11</v>
      </c>
      <c r="M4" s="94"/>
      <c r="N4" s="94"/>
      <c r="O4" s="94"/>
      <c r="P4" s="18" t="s">
        <v>10</v>
      </c>
      <c r="Q4" s="18" t="s">
        <v>11</v>
      </c>
      <c r="R4" s="94"/>
      <c r="S4" s="94"/>
      <c r="T4" s="94"/>
      <c r="U4" s="18" t="s">
        <v>10</v>
      </c>
      <c r="V4" s="18" t="s">
        <v>11</v>
      </c>
      <c r="W4" s="94"/>
      <c r="X4" s="94"/>
      <c r="Y4" s="94"/>
      <c r="Z4" s="18" t="s">
        <v>10</v>
      </c>
      <c r="AA4" s="18" t="s">
        <v>11</v>
      </c>
      <c r="AB4" s="94"/>
      <c r="AC4" s="94"/>
      <c r="AD4" s="94"/>
      <c r="AE4" s="18" t="s">
        <v>10</v>
      </c>
      <c r="AF4" s="18" t="s">
        <v>11</v>
      </c>
      <c r="AG4" s="94"/>
      <c r="AH4" s="94"/>
      <c r="AI4" s="94"/>
      <c r="AJ4" s="18" t="s">
        <v>10</v>
      </c>
      <c r="AK4" s="18" t="s">
        <v>11</v>
      </c>
      <c r="AL4" s="94"/>
      <c r="AM4" s="94"/>
      <c r="AN4" s="94"/>
      <c r="AO4" s="18" t="s">
        <v>10</v>
      </c>
      <c r="AP4" s="18" t="s">
        <v>11</v>
      </c>
      <c r="AQ4" s="94"/>
      <c r="AR4" s="94"/>
      <c r="AS4" s="94"/>
      <c r="AT4" s="18" t="s">
        <v>10</v>
      </c>
      <c r="AU4" s="18" t="s">
        <v>11</v>
      </c>
      <c r="AV4" s="94"/>
      <c r="AW4" s="94"/>
      <c r="AX4" s="94"/>
      <c r="AY4" s="18" t="s">
        <v>10</v>
      </c>
      <c r="AZ4" s="18" t="s">
        <v>11</v>
      </c>
      <c r="BA4" s="94"/>
      <c r="BB4" s="94"/>
      <c r="BC4" s="94"/>
      <c r="BD4" s="18" t="s">
        <v>10</v>
      </c>
      <c r="BE4" s="18" t="s">
        <v>11</v>
      </c>
      <c r="BF4" s="94"/>
      <c r="BG4" s="94"/>
      <c r="BH4" s="94"/>
      <c r="BI4" s="18" t="s">
        <v>10</v>
      </c>
      <c r="BJ4" s="18" t="s">
        <v>11</v>
      </c>
      <c r="BK4" s="94"/>
      <c r="BL4" s="94"/>
      <c r="BM4" s="94"/>
      <c r="BN4" s="18" t="s">
        <v>10</v>
      </c>
      <c r="BO4" s="18" t="s">
        <v>11</v>
      </c>
      <c r="BP4" s="94"/>
      <c r="BQ4" s="94"/>
      <c r="BR4" s="94"/>
      <c r="BS4" s="18" t="s">
        <v>10</v>
      </c>
      <c r="BT4" s="18" t="s">
        <v>11</v>
      </c>
      <c r="BU4" s="94"/>
      <c r="BV4" s="94"/>
      <c r="BW4" s="94"/>
      <c r="BX4" s="18" t="s">
        <v>10</v>
      </c>
      <c r="BY4" s="18" t="s">
        <v>11</v>
      </c>
      <c r="BZ4" s="94"/>
      <c r="CA4" s="94"/>
      <c r="CB4" s="94"/>
      <c r="CC4" s="18" t="s">
        <v>10</v>
      </c>
      <c r="CD4" s="18" t="s">
        <v>11</v>
      </c>
      <c r="CE4" s="94"/>
      <c r="CF4" s="94"/>
      <c r="CG4" s="94"/>
      <c r="CH4" s="18" t="s">
        <v>10</v>
      </c>
      <c r="CI4" s="18" t="s">
        <v>11</v>
      </c>
      <c r="CJ4" s="94"/>
      <c r="CK4" s="94"/>
      <c r="CL4" s="94"/>
      <c r="CM4" s="18" t="s">
        <v>10</v>
      </c>
      <c r="CN4" s="18" t="s">
        <v>11</v>
      </c>
      <c r="CO4" s="94"/>
      <c r="CP4" s="94"/>
      <c r="CQ4" s="94"/>
      <c r="CR4" s="18" t="s">
        <v>10</v>
      </c>
      <c r="CS4" s="18" t="s">
        <v>11</v>
      </c>
      <c r="CT4" s="94"/>
      <c r="CU4" s="94"/>
      <c r="CV4" s="94"/>
      <c r="CW4" s="18" t="s">
        <v>10</v>
      </c>
      <c r="CX4" s="18" t="s">
        <v>11</v>
      </c>
      <c r="CY4" s="94"/>
      <c r="CZ4" s="94"/>
      <c r="DA4" s="94"/>
      <c r="DB4" s="18" t="s">
        <v>10</v>
      </c>
      <c r="DC4" s="18" t="s">
        <v>11</v>
      </c>
      <c r="DD4" s="94"/>
      <c r="DE4" s="94"/>
      <c r="DF4" s="94"/>
      <c r="DG4" s="18" t="s">
        <v>10</v>
      </c>
      <c r="DH4" s="18" t="s">
        <v>11</v>
      </c>
      <c r="DI4" s="94"/>
      <c r="DJ4" s="94"/>
      <c r="DK4" s="94"/>
      <c r="DL4" s="18" t="s">
        <v>10</v>
      </c>
      <c r="DM4" s="18" t="s">
        <v>11</v>
      </c>
      <c r="DN4" s="94"/>
      <c r="DO4" s="94"/>
      <c r="DP4" s="94"/>
      <c r="DQ4" s="18" t="s">
        <v>10</v>
      </c>
      <c r="DR4" s="18" t="s">
        <v>11</v>
      </c>
      <c r="DS4" s="104"/>
      <c r="DT4" s="104"/>
      <c r="DU4" s="104"/>
      <c r="DV4" s="18" t="s">
        <v>10</v>
      </c>
      <c r="DW4" s="18" t="s">
        <v>11</v>
      </c>
      <c r="DX4" s="104"/>
      <c r="DY4" s="104"/>
      <c r="DZ4" s="104"/>
      <c r="EA4" s="18" t="s">
        <v>10</v>
      </c>
      <c r="EB4" s="18" t="s">
        <v>11</v>
      </c>
      <c r="EC4" s="104"/>
      <c r="ED4" s="104"/>
      <c r="EE4" s="104"/>
      <c r="EF4" s="18" t="s">
        <v>10</v>
      </c>
      <c r="EG4" s="18" t="s">
        <v>11</v>
      </c>
      <c r="EH4" s="94"/>
      <c r="EI4" s="94"/>
      <c r="EJ4" s="94"/>
      <c r="EK4" s="18" t="s">
        <v>10</v>
      </c>
      <c r="EL4" s="18" t="s">
        <v>11</v>
      </c>
      <c r="EM4" s="94"/>
      <c r="EN4" s="94"/>
      <c r="EO4" s="94"/>
      <c r="EP4" s="18" t="s">
        <v>10</v>
      </c>
      <c r="EQ4" s="18" t="s">
        <v>11</v>
      </c>
      <c r="ER4" s="94"/>
      <c r="ES4" s="94"/>
      <c r="ET4" s="94"/>
      <c r="EU4" s="18" t="s">
        <v>10</v>
      </c>
      <c r="EV4" s="18" t="s">
        <v>11</v>
      </c>
      <c r="EW4" s="94"/>
      <c r="EX4" s="94"/>
      <c r="EY4" s="94"/>
      <c r="EZ4" s="18" t="s">
        <v>10</v>
      </c>
      <c r="FA4" s="18" t="s">
        <v>11</v>
      </c>
      <c r="FB4" s="94"/>
      <c r="FC4" s="94"/>
      <c r="FD4" s="94"/>
      <c r="FE4" s="18" t="s">
        <v>10</v>
      </c>
      <c r="FF4" s="18" t="s">
        <v>11</v>
      </c>
      <c r="FG4" s="94"/>
      <c r="FH4" s="94"/>
      <c r="FI4" s="94"/>
      <c r="FJ4" s="18" t="s">
        <v>10</v>
      </c>
      <c r="FK4" s="18" t="s">
        <v>11</v>
      </c>
      <c r="FL4" s="94"/>
      <c r="FM4" s="94"/>
      <c r="FN4" s="94"/>
      <c r="FO4" s="18" t="s">
        <v>10</v>
      </c>
      <c r="FP4" s="18" t="s">
        <v>11</v>
      </c>
      <c r="FQ4" s="94"/>
      <c r="FR4" s="94"/>
      <c r="FS4" s="94"/>
      <c r="FT4" s="18" t="s">
        <v>10</v>
      </c>
      <c r="FU4" s="18" t="s">
        <v>11</v>
      </c>
      <c r="FV4" s="94"/>
      <c r="FW4" s="94"/>
      <c r="FX4" s="94"/>
      <c r="FY4" s="18" t="s">
        <v>10</v>
      </c>
      <c r="FZ4" s="18" t="s">
        <v>11</v>
      </c>
      <c r="GA4" s="94"/>
      <c r="GB4" s="94"/>
      <c r="GC4" s="94"/>
      <c r="GD4" s="18" t="s">
        <v>10</v>
      </c>
      <c r="GE4" s="18" t="s">
        <v>11</v>
      </c>
      <c r="GF4" s="94"/>
      <c r="GG4" s="94"/>
      <c r="GH4" s="94"/>
      <c r="GI4" s="18" t="s">
        <v>10</v>
      </c>
      <c r="GJ4" s="18" t="s">
        <v>11</v>
      </c>
      <c r="GK4" s="94"/>
      <c r="GL4" s="94"/>
      <c r="GM4" s="94"/>
      <c r="GN4" s="18" t="s">
        <v>10</v>
      </c>
      <c r="GO4" s="18" t="s">
        <v>11</v>
      </c>
      <c r="GP4" s="94"/>
      <c r="GQ4" s="94"/>
      <c r="GR4" s="94"/>
      <c r="GS4" s="18" t="s">
        <v>10</v>
      </c>
      <c r="GT4" s="18" t="s">
        <v>11</v>
      </c>
      <c r="GU4" s="94"/>
      <c r="GV4" s="94"/>
      <c r="GW4" s="94"/>
      <c r="GX4" s="18" t="s">
        <v>10</v>
      </c>
      <c r="GY4" s="18" t="s">
        <v>11</v>
      </c>
      <c r="GZ4" s="94"/>
      <c r="HA4" s="94"/>
      <c r="HB4" s="94"/>
      <c r="HC4" s="18" t="s">
        <v>10</v>
      </c>
      <c r="HD4" s="18" t="s">
        <v>11</v>
      </c>
      <c r="HE4" s="94"/>
      <c r="HF4" s="94"/>
      <c r="HG4" s="94"/>
      <c r="HH4" s="18" t="s">
        <v>10</v>
      </c>
      <c r="HI4" s="18" t="s">
        <v>11</v>
      </c>
      <c r="HJ4" s="94"/>
      <c r="HK4" s="94"/>
      <c r="HL4" s="94"/>
      <c r="HM4" s="18" t="s">
        <v>10</v>
      </c>
      <c r="HN4" s="18" t="s">
        <v>11</v>
      </c>
      <c r="HO4" s="94"/>
      <c r="HP4" s="94"/>
      <c r="HQ4" s="94"/>
      <c r="HR4" s="18" t="s">
        <v>10</v>
      </c>
      <c r="HS4" s="18" t="s">
        <v>11</v>
      </c>
      <c r="HT4" s="94"/>
      <c r="HU4" s="94"/>
      <c r="HV4" s="94"/>
      <c r="HW4" s="18" t="s">
        <v>10</v>
      </c>
      <c r="HX4" s="18" t="s">
        <v>11</v>
      </c>
      <c r="HY4" s="94"/>
      <c r="HZ4" s="94"/>
      <c r="IA4" s="94"/>
      <c r="IB4" s="18" t="s">
        <v>10</v>
      </c>
      <c r="IC4" s="18" t="s">
        <v>11</v>
      </c>
      <c r="ID4" s="94"/>
      <c r="IE4" s="94"/>
      <c r="IF4" s="94"/>
      <c r="IG4" s="18" t="s">
        <v>10</v>
      </c>
      <c r="IH4" s="18" t="s">
        <v>11</v>
      </c>
      <c r="II4" s="94"/>
      <c r="IJ4" s="94"/>
      <c r="IK4" s="94"/>
      <c r="IL4" s="18" t="s">
        <v>10</v>
      </c>
      <c r="IM4" s="18" t="s">
        <v>11</v>
      </c>
      <c r="IN4" s="94"/>
      <c r="IO4" s="94"/>
      <c r="IP4" s="94"/>
      <c r="IQ4" s="18" t="s">
        <v>10</v>
      </c>
      <c r="IR4" s="18" t="s">
        <v>11</v>
      </c>
      <c r="IS4" s="94"/>
      <c r="IT4" s="94"/>
      <c r="IU4" s="94"/>
      <c r="IV4" s="18" t="s">
        <v>10</v>
      </c>
      <c r="IW4" s="18" t="s">
        <v>11</v>
      </c>
    </row>
    <row r="5" spans="1:257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</row>
    <row r="6" spans="1:257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</row>
    <row r="7" spans="1:257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</row>
    <row r="8" spans="1:257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  <c r="IW8" s="15"/>
    </row>
    <row r="9" spans="1:25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</row>
    <row r="10" spans="1:25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4" spans="1:257" x14ac:dyDescent="0.25">
      <c r="H14" s="23" t="s">
        <v>42</v>
      </c>
      <c r="I14" s="24">
        <v>40</v>
      </c>
      <c r="J14" s="21" t="s">
        <v>47</v>
      </c>
    </row>
    <row r="15" spans="1:257" x14ac:dyDescent="0.25">
      <c r="A15" s="25" t="s">
        <v>43</v>
      </c>
      <c r="B15" s="26"/>
    </row>
    <row r="16" spans="1:257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A1:A4"/>
    <mergeCell ref="B1:B4"/>
    <mergeCell ref="C1:Q1"/>
    <mergeCell ref="R1:AF1"/>
    <mergeCell ref="AG1:AU1"/>
    <mergeCell ref="AV1:BJ1"/>
    <mergeCell ref="AV2:AZ2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J3:J4"/>
    <mergeCell ref="T3:T4"/>
    <mergeCell ref="U3:V3"/>
    <mergeCell ref="W3:W4"/>
    <mergeCell ref="X3:X4"/>
    <mergeCell ref="Y3:Y4"/>
    <mergeCell ref="Z3:AA3"/>
    <mergeCell ref="M3:M4"/>
    <mergeCell ref="BK1:BY1"/>
    <mergeCell ref="C2:G2"/>
    <mergeCell ref="H2:L2"/>
    <mergeCell ref="M2:Q2"/>
    <mergeCell ref="R2:V2"/>
    <mergeCell ref="W2:AA2"/>
    <mergeCell ref="AB2:AF2"/>
    <mergeCell ref="AG2:AK2"/>
    <mergeCell ref="AL2:AP2"/>
    <mergeCell ref="AQ2:AU2"/>
    <mergeCell ref="BK2:BO2"/>
    <mergeCell ref="BP2:BT2"/>
    <mergeCell ref="BU2:BY2"/>
    <mergeCell ref="N3:N4"/>
    <mergeCell ref="O3:O4"/>
    <mergeCell ref="P3:Q3"/>
    <mergeCell ref="R3:R4"/>
    <mergeCell ref="S3:S4"/>
    <mergeCell ref="AI3:AI4"/>
    <mergeCell ref="AJ3:AK3"/>
    <mergeCell ref="AL3:AL4"/>
    <mergeCell ref="AM3:AM4"/>
    <mergeCell ref="AN3:AN4"/>
    <mergeCell ref="AO3:AP3"/>
    <mergeCell ref="AB3:AB4"/>
    <mergeCell ref="AC3:AC4"/>
    <mergeCell ref="AD3:AD4"/>
    <mergeCell ref="AE3:AF3"/>
    <mergeCell ref="AG3:AG4"/>
    <mergeCell ref="AH3:AH4"/>
    <mergeCell ref="AX3:AX4"/>
    <mergeCell ref="AY3:AZ3"/>
    <mergeCell ref="BA3:BA4"/>
    <mergeCell ref="BB3:BB4"/>
    <mergeCell ref="BC3:BC4"/>
    <mergeCell ref="BD3:BE3"/>
    <mergeCell ref="AQ3:AQ4"/>
    <mergeCell ref="AR3:AR4"/>
    <mergeCell ref="AS3:AS4"/>
    <mergeCell ref="AT3:AU3"/>
    <mergeCell ref="AV3:AV4"/>
    <mergeCell ref="AW3:AW4"/>
    <mergeCell ref="BM3:BM4"/>
    <mergeCell ref="BN3:BO3"/>
    <mergeCell ref="BP3:BP4"/>
    <mergeCell ref="BQ3:BQ4"/>
    <mergeCell ref="BR3:BR4"/>
    <mergeCell ref="BS3:BT3"/>
    <mergeCell ref="BF3:BF4"/>
    <mergeCell ref="BG3:BG4"/>
    <mergeCell ref="BH3:BH4"/>
    <mergeCell ref="BI3:BJ3"/>
    <mergeCell ref="BK3:BK4"/>
    <mergeCell ref="BL3:BL4"/>
    <mergeCell ref="CB3:CB4"/>
    <mergeCell ref="CC3:CD3"/>
    <mergeCell ref="CE3:CE4"/>
    <mergeCell ref="CF3:CF4"/>
    <mergeCell ref="CG3:CG4"/>
    <mergeCell ref="CH3:CI3"/>
    <mergeCell ref="BU3:BU4"/>
    <mergeCell ref="BV3:BV4"/>
    <mergeCell ref="BW3:BW4"/>
    <mergeCell ref="BX3:BY3"/>
    <mergeCell ref="BZ3:BZ4"/>
    <mergeCell ref="CA3:CA4"/>
    <mergeCell ref="CJ3:CJ4"/>
    <mergeCell ref="CK3:CK4"/>
    <mergeCell ref="CL3:CL4"/>
    <mergeCell ref="CM3:CN3"/>
    <mergeCell ref="CO1:DC1"/>
    <mergeCell ref="CO2:CS2"/>
    <mergeCell ref="CT2:CX2"/>
    <mergeCell ref="CY2:DC2"/>
    <mergeCell ref="CO3:CO4"/>
    <mergeCell ref="CP3:CP4"/>
    <mergeCell ref="BZ1:CN1"/>
    <mergeCell ref="BZ2:CD2"/>
    <mergeCell ref="CE2:CI2"/>
    <mergeCell ref="CJ2:CN2"/>
    <mergeCell ref="CY3:CY4"/>
    <mergeCell ref="CZ3:CZ4"/>
    <mergeCell ref="DA3:DA4"/>
    <mergeCell ref="DB3:DC3"/>
    <mergeCell ref="CQ3:CQ4"/>
    <mergeCell ref="CR3:CS3"/>
    <mergeCell ref="CT3:CT4"/>
    <mergeCell ref="CU3:CU4"/>
    <mergeCell ref="CV3:CV4"/>
    <mergeCell ref="CW3:CX3"/>
    <mergeCell ref="DZ3:DZ4"/>
    <mergeCell ref="EA3:EB3"/>
    <mergeCell ref="EC3:EC4"/>
    <mergeCell ref="ED3:ED4"/>
    <mergeCell ref="EE3:EE4"/>
    <mergeCell ref="EF3:EG3"/>
    <mergeCell ref="DS1:EG1"/>
    <mergeCell ref="DS2:DW2"/>
    <mergeCell ref="DX2:EB2"/>
    <mergeCell ref="EC2:EG2"/>
    <mergeCell ref="DS3:DS4"/>
    <mergeCell ref="DT3:DT4"/>
    <mergeCell ref="DU3:DU4"/>
    <mergeCell ref="DV3:DW3"/>
    <mergeCell ref="DX3:DX4"/>
    <mergeCell ref="DY3:DY4"/>
    <mergeCell ref="EO3:EO4"/>
    <mergeCell ref="EP3:EQ3"/>
    <mergeCell ref="ER3:ER4"/>
    <mergeCell ref="ES3:ES4"/>
    <mergeCell ref="ET3:ET4"/>
    <mergeCell ref="EU3:EV3"/>
    <mergeCell ref="EH1:EV1"/>
    <mergeCell ref="EH2:EL2"/>
    <mergeCell ref="EM2:EQ2"/>
    <mergeCell ref="ER2:EV2"/>
    <mergeCell ref="EH3:EH4"/>
    <mergeCell ref="EI3:EI4"/>
    <mergeCell ref="EJ3:EJ4"/>
    <mergeCell ref="EK3:EL3"/>
    <mergeCell ref="EM3:EM4"/>
    <mergeCell ref="EN3:EN4"/>
    <mergeCell ref="FD3:FD4"/>
    <mergeCell ref="FE3:FF3"/>
    <mergeCell ref="FG3:FG4"/>
    <mergeCell ref="FH3:FH4"/>
    <mergeCell ref="FI3:FI4"/>
    <mergeCell ref="FJ3:FK3"/>
    <mergeCell ref="EW1:FK1"/>
    <mergeCell ref="EW2:FA2"/>
    <mergeCell ref="FB2:FF2"/>
    <mergeCell ref="FG2:FK2"/>
    <mergeCell ref="EW3:EW4"/>
    <mergeCell ref="EX3:EX4"/>
    <mergeCell ref="EY3:EY4"/>
    <mergeCell ref="EZ3:FA3"/>
    <mergeCell ref="FB3:FB4"/>
    <mergeCell ref="FC3:FC4"/>
    <mergeCell ref="FS3:FS4"/>
    <mergeCell ref="FT3:FU3"/>
    <mergeCell ref="FV3:FV4"/>
    <mergeCell ref="FW3:FW4"/>
    <mergeCell ref="FX3:FX4"/>
    <mergeCell ref="FY3:FZ3"/>
    <mergeCell ref="FL1:FZ1"/>
    <mergeCell ref="FL2:FP2"/>
    <mergeCell ref="FQ2:FU2"/>
    <mergeCell ref="FV2:FZ2"/>
    <mergeCell ref="FL3:FL4"/>
    <mergeCell ref="FM3:FM4"/>
    <mergeCell ref="FN3:FN4"/>
    <mergeCell ref="FO3:FP3"/>
    <mergeCell ref="FQ3:FQ4"/>
    <mergeCell ref="FR3:FR4"/>
    <mergeCell ref="GH3:GH4"/>
    <mergeCell ref="GI3:GJ3"/>
    <mergeCell ref="GK3:GK4"/>
    <mergeCell ref="GL3:GL4"/>
    <mergeCell ref="GM3:GM4"/>
    <mergeCell ref="GN3:GO3"/>
    <mergeCell ref="GA1:GO1"/>
    <mergeCell ref="GA2:GE2"/>
    <mergeCell ref="GF2:GJ2"/>
    <mergeCell ref="GK2:GO2"/>
    <mergeCell ref="GA3:GA4"/>
    <mergeCell ref="GB3:GB4"/>
    <mergeCell ref="GC3:GC4"/>
    <mergeCell ref="GD3:GE3"/>
    <mergeCell ref="GF3:GF4"/>
    <mergeCell ref="GG3:GG4"/>
    <mergeCell ref="GW3:GW4"/>
    <mergeCell ref="GX3:GY3"/>
    <mergeCell ref="GZ3:GZ4"/>
    <mergeCell ref="HA3:HA4"/>
    <mergeCell ref="HB3:HB4"/>
    <mergeCell ref="HC3:HD3"/>
    <mergeCell ref="GP1:HD1"/>
    <mergeCell ref="GP2:GT2"/>
    <mergeCell ref="GU2:GY2"/>
    <mergeCell ref="GZ2:HD2"/>
    <mergeCell ref="GP3:GP4"/>
    <mergeCell ref="GQ3:GQ4"/>
    <mergeCell ref="GR3:GR4"/>
    <mergeCell ref="GS3:GT3"/>
    <mergeCell ref="GU3:GU4"/>
    <mergeCell ref="GV3:GV4"/>
    <mergeCell ref="HL3:HL4"/>
    <mergeCell ref="HM3:HN3"/>
    <mergeCell ref="HO3:HO4"/>
    <mergeCell ref="HP3:HP4"/>
    <mergeCell ref="HQ3:HQ4"/>
    <mergeCell ref="HR3:HS3"/>
    <mergeCell ref="HE1:HS1"/>
    <mergeCell ref="HE2:HI2"/>
    <mergeCell ref="HJ2:HN2"/>
    <mergeCell ref="HO2:HS2"/>
    <mergeCell ref="HE3:HE4"/>
    <mergeCell ref="HF3:HF4"/>
    <mergeCell ref="HG3:HG4"/>
    <mergeCell ref="HH3:HI3"/>
    <mergeCell ref="HJ3:HJ4"/>
    <mergeCell ref="HK3:HK4"/>
    <mergeCell ref="IA3:IA4"/>
    <mergeCell ref="IB3:IC3"/>
    <mergeCell ref="ID3:ID4"/>
    <mergeCell ref="IE3:IE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IP3:IP4"/>
    <mergeCell ref="IQ3:IR3"/>
    <mergeCell ref="IS3:IS4"/>
    <mergeCell ref="IT3:IT4"/>
    <mergeCell ref="IU3:IU4"/>
    <mergeCell ref="IV3:IW3"/>
    <mergeCell ref="II1:IW1"/>
    <mergeCell ref="II2:IM2"/>
    <mergeCell ref="IN2:IR2"/>
    <mergeCell ref="IS2:IW2"/>
    <mergeCell ref="II3:II4"/>
    <mergeCell ref="IJ3:IJ4"/>
    <mergeCell ref="IK3:IK4"/>
    <mergeCell ref="IL3:IM3"/>
    <mergeCell ref="IN3:IN4"/>
    <mergeCell ref="IO3:IO4"/>
    <mergeCell ref="DK3:DK4"/>
    <mergeCell ref="DL3:DM3"/>
    <mergeCell ref="DN3:DN4"/>
    <mergeCell ref="DO3:DO4"/>
    <mergeCell ref="DP3:DP4"/>
    <mergeCell ref="DQ3:DR3"/>
    <mergeCell ref="DD1:DR1"/>
    <mergeCell ref="DD2:DH2"/>
    <mergeCell ref="DI2:DM2"/>
    <mergeCell ref="DN2:DR2"/>
    <mergeCell ref="DD3:DD4"/>
    <mergeCell ref="DE3:DE4"/>
    <mergeCell ref="DF3:DF4"/>
    <mergeCell ref="DG3:DH3"/>
    <mergeCell ref="DI3:DI4"/>
    <mergeCell ref="DJ3:DJ4"/>
  </mergeCells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:IW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T14"/>
  <sheetViews>
    <sheetView topLeftCell="A3" workbookViewId="0">
      <selection activeCell="A14" sqref="A14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2" width="9.85546875" customWidth="1"/>
    <col min="13" max="13" width="7.5703125" customWidth="1"/>
    <col min="14" max="14" width="5.42578125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4" width="9.140625" customWidth="1"/>
    <col min="115" max="116" width="9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2" width="9.140625" customWidth="1"/>
    <col min="143" max="144" width="9" customWidth="1"/>
    <col min="145" max="146" width="9.140625" customWidth="1"/>
    <col min="147" max="150" width="10.42578125" customWidth="1"/>
  </cols>
  <sheetData>
    <row r="1" spans="1:150" ht="15.75" customHeight="1" thickTop="1" x14ac:dyDescent="0.25">
      <c r="A1" s="115" t="s">
        <v>48</v>
      </c>
      <c r="B1" s="118" t="s">
        <v>49</v>
      </c>
      <c r="C1" s="121" t="s">
        <v>50</v>
      </c>
      <c r="D1" s="124" t="s">
        <v>51</v>
      </c>
      <c r="E1" s="127" t="s">
        <v>52</v>
      </c>
      <c r="F1" s="130" t="s">
        <v>53</v>
      </c>
      <c r="G1" s="109" t="s">
        <v>89</v>
      </c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09" t="s">
        <v>54</v>
      </c>
      <c r="T1" s="110"/>
      <c r="U1" s="109" t="s">
        <v>54</v>
      </c>
      <c r="V1" s="110"/>
      <c r="W1" s="110"/>
      <c r="X1" s="110"/>
      <c r="Y1" s="110"/>
      <c r="Z1" s="110"/>
      <c r="AA1" s="110"/>
      <c r="AB1" s="110"/>
      <c r="AC1" s="110"/>
      <c r="AD1" s="111"/>
      <c r="AE1" s="109" t="s">
        <v>55</v>
      </c>
      <c r="AF1" s="110"/>
      <c r="AG1" s="109" t="s">
        <v>55</v>
      </c>
      <c r="AH1" s="110"/>
      <c r="AI1" s="110"/>
      <c r="AJ1" s="110"/>
      <c r="AK1" s="110"/>
      <c r="AL1" s="110"/>
      <c r="AM1" s="110"/>
      <c r="AN1" s="110"/>
      <c r="AO1" s="110"/>
      <c r="AP1" s="111"/>
      <c r="AQ1" s="109" t="s">
        <v>56</v>
      </c>
      <c r="AR1" s="110"/>
      <c r="AS1" s="109" t="s">
        <v>90</v>
      </c>
      <c r="AT1" s="110"/>
      <c r="AU1" s="110"/>
      <c r="AV1" s="110"/>
      <c r="AW1" s="110"/>
      <c r="AX1" s="110"/>
      <c r="AY1" s="110"/>
      <c r="AZ1" s="110"/>
      <c r="BA1" s="110"/>
      <c r="BB1" s="111"/>
      <c r="BC1" s="109" t="s">
        <v>57</v>
      </c>
      <c r="BD1" s="110"/>
      <c r="BE1" s="109" t="s">
        <v>91</v>
      </c>
      <c r="BF1" s="110"/>
      <c r="BG1" s="110"/>
      <c r="BH1" s="110"/>
      <c r="BI1" s="110"/>
      <c r="BJ1" s="110"/>
      <c r="BK1" s="110"/>
      <c r="BL1" s="110"/>
      <c r="BM1" s="110"/>
      <c r="BN1" s="111"/>
      <c r="BO1" s="152" t="s">
        <v>92</v>
      </c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4"/>
      <c r="CQ1" s="152" t="s">
        <v>93</v>
      </c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4"/>
      <c r="DS1" s="152" t="s">
        <v>94</v>
      </c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4"/>
    </row>
    <row r="2" spans="1:150" ht="15" customHeight="1" x14ac:dyDescent="0.25">
      <c r="A2" s="116"/>
      <c r="B2" s="119"/>
      <c r="C2" s="122"/>
      <c r="D2" s="125"/>
      <c r="E2" s="128"/>
      <c r="F2" s="131"/>
      <c r="G2" s="155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12"/>
      <c r="T2" s="113"/>
      <c r="U2" s="112"/>
      <c r="V2" s="113"/>
      <c r="W2" s="113"/>
      <c r="X2" s="113"/>
      <c r="Y2" s="113"/>
      <c r="Z2" s="113"/>
      <c r="AA2" s="113"/>
      <c r="AB2" s="113"/>
      <c r="AC2" s="113"/>
      <c r="AD2" s="114"/>
      <c r="AE2" s="112"/>
      <c r="AF2" s="113"/>
      <c r="AG2" s="112"/>
      <c r="AH2" s="113"/>
      <c r="AI2" s="113"/>
      <c r="AJ2" s="113"/>
      <c r="AK2" s="113"/>
      <c r="AL2" s="113"/>
      <c r="AM2" s="113"/>
      <c r="AN2" s="113"/>
      <c r="AO2" s="113"/>
      <c r="AP2" s="114"/>
      <c r="AQ2" s="112"/>
      <c r="AR2" s="113"/>
      <c r="AS2" s="112"/>
      <c r="AT2" s="113"/>
      <c r="AU2" s="113"/>
      <c r="AV2" s="113"/>
      <c r="AW2" s="113"/>
      <c r="AX2" s="113"/>
      <c r="AY2" s="113"/>
      <c r="AZ2" s="113"/>
      <c r="BA2" s="113"/>
      <c r="BB2" s="114"/>
      <c r="BC2" s="112"/>
      <c r="BD2" s="113"/>
      <c r="BE2" s="112"/>
      <c r="BF2" s="113"/>
      <c r="BG2" s="113"/>
      <c r="BH2" s="113"/>
      <c r="BI2" s="113"/>
      <c r="BJ2" s="113"/>
      <c r="BK2" s="113"/>
      <c r="BL2" s="113"/>
      <c r="BM2" s="113"/>
      <c r="BN2" s="114"/>
      <c r="BO2" s="112" t="s">
        <v>58</v>
      </c>
      <c r="BP2" s="113"/>
      <c r="BQ2" s="113"/>
      <c r="BR2" s="113"/>
      <c r="BS2" s="113"/>
      <c r="BT2" s="113"/>
      <c r="BU2" s="114"/>
      <c r="BV2" s="149" t="s">
        <v>59</v>
      </c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1"/>
      <c r="CQ2" s="112" t="s">
        <v>60</v>
      </c>
      <c r="CR2" s="113"/>
      <c r="CS2" s="113"/>
      <c r="CT2" s="113"/>
      <c r="CU2" s="113"/>
      <c r="CV2" s="113"/>
      <c r="CW2" s="114"/>
      <c r="CX2" s="149" t="s">
        <v>59</v>
      </c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1"/>
      <c r="DS2" s="112" t="s">
        <v>60</v>
      </c>
      <c r="DT2" s="113"/>
      <c r="DU2" s="113"/>
      <c r="DV2" s="113"/>
      <c r="DW2" s="113"/>
      <c r="DX2" s="113"/>
      <c r="DY2" s="114"/>
      <c r="DZ2" s="149" t="s">
        <v>59</v>
      </c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  <c r="ER2" s="150"/>
      <c r="ES2" s="150"/>
      <c r="ET2" s="151"/>
    </row>
    <row r="3" spans="1:150" ht="15" customHeight="1" x14ac:dyDescent="0.25">
      <c r="A3" s="116"/>
      <c r="B3" s="119"/>
      <c r="C3" s="122"/>
      <c r="D3" s="125"/>
      <c r="E3" s="128"/>
      <c r="F3" s="131"/>
      <c r="G3" s="141" t="s">
        <v>61</v>
      </c>
      <c r="H3" s="90" t="s">
        <v>62</v>
      </c>
      <c r="I3" s="146" t="s">
        <v>63</v>
      </c>
      <c r="J3" s="146" t="s">
        <v>64</v>
      </c>
      <c r="K3" s="147" t="s">
        <v>65</v>
      </c>
      <c r="L3" s="143"/>
      <c r="M3" s="146" t="s">
        <v>121</v>
      </c>
      <c r="N3" s="80" t="s">
        <v>67</v>
      </c>
      <c r="O3" s="133" t="s">
        <v>68</v>
      </c>
      <c r="P3" s="134"/>
      <c r="Q3" s="137" t="s">
        <v>65</v>
      </c>
      <c r="R3" s="143"/>
      <c r="S3" s="141" t="s">
        <v>61</v>
      </c>
      <c r="T3" s="142" t="s">
        <v>62</v>
      </c>
      <c r="U3" s="145" t="s">
        <v>63</v>
      </c>
      <c r="V3" s="146" t="s">
        <v>64</v>
      </c>
      <c r="W3" s="147" t="s">
        <v>65</v>
      </c>
      <c r="X3" s="143"/>
      <c r="Y3" s="146" t="s">
        <v>121</v>
      </c>
      <c r="Z3" s="80" t="s">
        <v>67</v>
      </c>
      <c r="AA3" s="133" t="s">
        <v>68</v>
      </c>
      <c r="AB3" s="134"/>
      <c r="AC3" s="137" t="s">
        <v>65</v>
      </c>
      <c r="AD3" s="138"/>
      <c r="AE3" s="141" t="s">
        <v>61</v>
      </c>
      <c r="AF3" s="142" t="s">
        <v>62</v>
      </c>
      <c r="AG3" s="145" t="s">
        <v>63</v>
      </c>
      <c r="AH3" s="146" t="s">
        <v>64</v>
      </c>
      <c r="AI3" s="147" t="s">
        <v>65</v>
      </c>
      <c r="AJ3" s="143"/>
      <c r="AK3" s="146" t="s">
        <v>121</v>
      </c>
      <c r="AL3" s="80" t="s">
        <v>67</v>
      </c>
      <c r="AM3" s="133" t="s">
        <v>68</v>
      </c>
      <c r="AN3" s="134"/>
      <c r="AO3" s="137" t="s">
        <v>65</v>
      </c>
      <c r="AP3" s="138"/>
      <c r="AQ3" s="141" t="s">
        <v>61</v>
      </c>
      <c r="AR3" s="142" t="s">
        <v>62</v>
      </c>
      <c r="AS3" s="145" t="s">
        <v>63</v>
      </c>
      <c r="AT3" s="146" t="s">
        <v>64</v>
      </c>
      <c r="AU3" s="147" t="s">
        <v>65</v>
      </c>
      <c r="AV3" s="143"/>
      <c r="AW3" s="146" t="s">
        <v>121</v>
      </c>
      <c r="AX3" s="80" t="s">
        <v>67</v>
      </c>
      <c r="AY3" s="133" t="s">
        <v>68</v>
      </c>
      <c r="AZ3" s="134"/>
      <c r="BA3" s="137" t="s">
        <v>65</v>
      </c>
      <c r="BB3" s="138"/>
      <c r="BC3" s="141" t="s">
        <v>61</v>
      </c>
      <c r="BD3" s="142" t="s">
        <v>62</v>
      </c>
      <c r="BE3" s="145" t="s">
        <v>63</v>
      </c>
      <c r="BF3" s="146" t="s">
        <v>64</v>
      </c>
      <c r="BG3" s="147" t="s">
        <v>65</v>
      </c>
      <c r="BH3" s="143"/>
      <c r="BI3" s="146" t="s">
        <v>121</v>
      </c>
      <c r="BJ3" s="80" t="s">
        <v>67</v>
      </c>
      <c r="BK3" s="133" t="s">
        <v>68</v>
      </c>
      <c r="BL3" s="134"/>
      <c r="BM3" s="137" t="s">
        <v>65</v>
      </c>
      <c r="BN3" s="138"/>
      <c r="BO3" s="163" t="s">
        <v>69</v>
      </c>
      <c r="BP3" s="166" t="s">
        <v>70</v>
      </c>
      <c r="BQ3" s="166" t="s">
        <v>71</v>
      </c>
      <c r="BR3" s="166" t="s">
        <v>72</v>
      </c>
      <c r="BS3" s="171" t="s">
        <v>68</v>
      </c>
      <c r="BT3" s="172"/>
      <c r="BU3" s="173"/>
      <c r="BV3" s="157" t="s">
        <v>73</v>
      </c>
      <c r="BW3" s="158"/>
      <c r="BX3" s="158"/>
      <c r="BY3" s="158"/>
      <c r="BZ3" s="158"/>
      <c r="CA3" s="158"/>
      <c r="CB3" s="159"/>
      <c r="CC3" s="160" t="s">
        <v>74</v>
      </c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2"/>
      <c r="CQ3" s="163" t="s">
        <v>120</v>
      </c>
      <c r="CR3" s="166" t="s">
        <v>75</v>
      </c>
      <c r="CS3" s="166" t="s">
        <v>76</v>
      </c>
      <c r="CT3" s="166" t="s">
        <v>121</v>
      </c>
      <c r="CU3" s="171" t="s">
        <v>68</v>
      </c>
      <c r="CV3" s="172"/>
      <c r="CW3" s="173"/>
      <c r="CX3" s="157" t="s">
        <v>73</v>
      </c>
      <c r="CY3" s="158"/>
      <c r="CZ3" s="158"/>
      <c r="DA3" s="158"/>
      <c r="DB3" s="158"/>
      <c r="DC3" s="158"/>
      <c r="DD3" s="159"/>
      <c r="DE3" s="160" t="s">
        <v>74</v>
      </c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2"/>
      <c r="DS3" s="163" t="s">
        <v>120</v>
      </c>
      <c r="DT3" s="166" t="s">
        <v>75</v>
      </c>
      <c r="DU3" s="166" t="s">
        <v>76</v>
      </c>
      <c r="DV3" s="166" t="s">
        <v>121</v>
      </c>
      <c r="DW3" s="171" t="s">
        <v>68</v>
      </c>
      <c r="DX3" s="172"/>
      <c r="DY3" s="173"/>
      <c r="DZ3" s="157" t="s">
        <v>73</v>
      </c>
      <c r="EA3" s="158"/>
      <c r="EB3" s="158"/>
      <c r="EC3" s="158"/>
      <c r="ED3" s="158"/>
      <c r="EE3" s="158"/>
      <c r="EF3" s="159"/>
      <c r="EG3" s="160" t="s">
        <v>74</v>
      </c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2"/>
    </row>
    <row r="4" spans="1:150" ht="15" customHeight="1" x14ac:dyDescent="0.25">
      <c r="A4" s="116"/>
      <c r="B4" s="119"/>
      <c r="C4" s="122"/>
      <c r="D4" s="125"/>
      <c r="E4" s="128"/>
      <c r="F4" s="131"/>
      <c r="G4" s="141"/>
      <c r="H4" s="90"/>
      <c r="I4" s="146"/>
      <c r="J4" s="146"/>
      <c r="K4" s="148"/>
      <c r="L4" s="144"/>
      <c r="M4" s="146"/>
      <c r="N4" s="80"/>
      <c r="O4" s="135"/>
      <c r="P4" s="136"/>
      <c r="Q4" s="139"/>
      <c r="R4" s="144"/>
      <c r="S4" s="141"/>
      <c r="T4" s="142"/>
      <c r="U4" s="145"/>
      <c r="V4" s="146"/>
      <c r="W4" s="148"/>
      <c r="X4" s="144"/>
      <c r="Y4" s="146"/>
      <c r="Z4" s="80"/>
      <c r="AA4" s="135"/>
      <c r="AB4" s="136"/>
      <c r="AC4" s="139"/>
      <c r="AD4" s="140"/>
      <c r="AE4" s="141"/>
      <c r="AF4" s="142"/>
      <c r="AG4" s="145"/>
      <c r="AH4" s="146"/>
      <c r="AI4" s="148"/>
      <c r="AJ4" s="144"/>
      <c r="AK4" s="146"/>
      <c r="AL4" s="80"/>
      <c r="AM4" s="135"/>
      <c r="AN4" s="136"/>
      <c r="AO4" s="139"/>
      <c r="AP4" s="140"/>
      <c r="AQ4" s="141"/>
      <c r="AR4" s="142"/>
      <c r="AS4" s="145"/>
      <c r="AT4" s="146"/>
      <c r="AU4" s="148"/>
      <c r="AV4" s="144"/>
      <c r="AW4" s="146"/>
      <c r="AX4" s="80"/>
      <c r="AY4" s="135"/>
      <c r="AZ4" s="136"/>
      <c r="BA4" s="139"/>
      <c r="BB4" s="140"/>
      <c r="BC4" s="141"/>
      <c r="BD4" s="142"/>
      <c r="BE4" s="145"/>
      <c r="BF4" s="146"/>
      <c r="BG4" s="148"/>
      <c r="BH4" s="144"/>
      <c r="BI4" s="146"/>
      <c r="BJ4" s="80"/>
      <c r="BK4" s="135"/>
      <c r="BL4" s="136"/>
      <c r="BM4" s="139"/>
      <c r="BN4" s="140"/>
      <c r="BO4" s="164"/>
      <c r="BP4" s="167"/>
      <c r="BQ4" s="167"/>
      <c r="BR4" s="167"/>
      <c r="BS4" s="29"/>
      <c r="BT4" s="30"/>
      <c r="BU4" s="31"/>
      <c r="BV4" s="32"/>
      <c r="BW4" s="33"/>
      <c r="BX4" s="33"/>
      <c r="BY4" s="33"/>
      <c r="BZ4" s="33"/>
      <c r="CA4" s="33"/>
      <c r="CB4" s="34"/>
      <c r="CC4" s="174" t="s">
        <v>69</v>
      </c>
      <c r="CD4" s="174"/>
      <c r="CE4" s="174" t="s">
        <v>77</v>
      </c>
      <c r="CF4" s="174"/>
      <c r="CG4" s="174" t="s">
        <v>78</v>
      </c>
      <c r="CH4" s="174"/>
      <c r="CI4" s="169" t="s">
        <v>79</v>
      </c>
      <c r="CJ4" s="159"/>
      <c r="CK4" s="169" t="s">
        <v>80</v>
      </c>
      <c r="CL4" s="158"/>
      <c r="CM4" s="174" t="s">
        <v>81</v>
      </c>
      <c r="CN4" s="174"/>
      <c r="CO4" s="169" t="s">
        <v>82</v>
      </c>
      <c r="CP4" s="170"/>
      <c r="CQ4" s="164"/>
      <c r="CR4" s="167"/>
      <c r="CS4" s="167"/>
      <c r="CT4" s="167"/>
      <c r="CU4" s="29"/>
      <c r="CV4" s="30"/>
      <c r="CW4" s="31"/>
      <c r="CX4" s="32"/>
      <c r="CY4" s="33"/>
      <c r="CZ4" s="33"/>
      <c r="DA4" s="33"/>
      <c r="DB4" s="33"/>
      <c r="DC4" s="33"/>
      <c r="DD4" s="34"/>
      <c r="DE4" s="174" t="s">
        <v>69</v>
      </c>
      <c r="DF4" s="174"/>
      <c r="DG4" s="174" t="s">
        <v>77</v>
      </c>
      <c r="DH4" s="174"/>
      <c r="DI4" s="174" t="s">
        <v>78</v>
      </c>
      <c r="DJ4" s="174"/>
      <c r="DK4" s="169" t="s">
        <v>79</v>
      </c>
      <c r="DL4" s="159"/>
      <c r="DM4" s="169" t="s">
        <v>80</v>
      </c>
      <c r="DN4" s="158"/>
      <c r="DO4" s="174" t="s">
        <v>81</v>
      </c>
      <c r="DP4" s="174"/>
      <c r="DQ4" s="169" t="s">
        <v>82</v>
      </c>
      <c r="DR4" s="170"/>
      <c r="DS4" s="164"/>
      <c r="DT4" s="167"/>
      <c r="DU4" s="167"/>
      <c r="DV4" s="167"/>
      <c r="DW4" s="29"/>
      <c r="DX4" s="30"/>
      <c r="DY4" s="31"/>
      <c r="DZ4" s="32"/>
      <c r="EA4" s="33"/>
      <c r="EB4" s="33"/>
      <c r="EC4" s="33"/>
      <c r="ED4" s="33"/>
      <c r="EE4" s="33"/>
      <c r="EF4" s="34"/>
      <c r="EG4" s="174" t="s">
        <v>69</v>
      </c>
      <c r="EH4" s="174"/>
      <c r="EI4" s="174" t="s">
        <v>77</v>
      </c>
      <c r="EJ4" s="174"/>
      <c r="EK4" s="174" t="s">
        <v>78</v>
      </c>
      <c r="EL4" s="174"/>
      <c r="EM4" s="169" t="s">
        <v>79</v>
      </c>
      <c r="EN4" s="159"/>
      <c r="EO4" s="169" t="s">
        <v>80</v>
      </c>
      <c r="EP4" s="158"/>
      <c r="EQ4" s="174" t="s">
        <v>81</v>
      </c>
      <c r="ER4" s="174"/>
      <c r="ES4" s="169" t="s">
        <v>82</v>
      </c>
      <c r="ET4" s="170"/>
    </row>
    <row r="5" spans="1:150" ht="38.25" x14ac:dyDescent="0.25">
      <c r="A5" s="117"/>
      <c r="B5" s="120"/>
      <c r="C5" s="123"/>
      <c r="D5" s="126"/>
      <c r="E5" s="129"/>
      <c r="F5" s="132"/>
      <c r="G5" s="141"/>
      <c r="H5" s="90"/>
      <c r="I5" s="146"/>
      <c r="J5" s="146"/>
      <c r="K5" s="35" t="s">
        <v>83</v>
      </c>
      <c r="L5" s="36" t="s">
        <v>84</v>
      </c>
      <c r="M5" s="146"/>
      <c r="N5" s="80"/>
      <c r="O5" s="37" t="s">
        <v>122</v>
      </c>
      <c r="P5" s="38" t="s">
        <v>73</v>
      </c>
      <c r="Q5" s="39" t="s">
        <v>86</v>
      </c>
      <c r="R5" s="38" t="s">
        <v>108</v>
      </c>
      <c r="S5" s="141"/>
      <c r="T5" s="142"/>
      <c r="U5" s="145"/>
      <c r="V5" s="146"/>
      <c r="W5" s="35" t="s">
        <v>83</v>
      </c>
      <c r="X5" s="36" t="s">
        <v>84</v>
      </c>
      <c r="Y5" s="146"/>
      <c r="Z5" s="80"/>
      <c r="AA5" s="37" t="s">
        <v>122</v>
      </c>
      <c r="AB5" s="38" t="s">
        <v>73</v>
      </c>
      <c r="AC5" s="39" t="s">
        <v>86</v>
      </c>
      <c r="AD5" s="40" t="s">
        <v>108</v>
      </c>
      <c r="AE5" s="141"/>
      <c r="AF5" s="142"/>
      <c r="AG5" s="145"/>
      <c r="AH5" s="146"/>
      <c r="AI5" s="35" t="s">
        <v>83</v>
      </c>
      <c r="AJ5" s="36" t="s">
        <v>84</v>
      </c>
      <c r="AK5" s="146"/>
      <c r="AL5" s="80"/>
      <c r="AM5" s="37" t="s">
        <v>122</v>
      </c>
      <c r="AN5" s="38" t="s">
        <v>73</v>
      </c>
      <c r="AO5" s="39" t="s">
        <v>86</v>
      </c>
      <c r="AP5" s="40" t="s">
        <v>108</v>
      </c>
      <c r="AQ5" s="141"/>
      <c r="AR5" s="142"/>
      <c r="AS5" s="145"/>
      <c r="AT5" s="146"/>
      <c r="AU5" s="35" t="s">
        <v>83</v>
      </c>
      <c r="AV5" s="36" t="s">
        <v>84</v>
      </c>
      <c r="AW5" s="146"/>
      <c r="AX5" s="80"/>
      <c r="AY5" s="37" t="s">
        <v>122</v>
      </c>
      <c r="AZ5" s="38" t="s">
        <v>73</v>
      </c>
      <c r="BA5" s="39" t="s">
        <v>86</v>
      </c>
      <c r="BB5" s="40" t="s">
        <v>108</v>
      </c>
      <c r="BC5" s="141"/>
      <c r="BD5" s="142"/>
      <c r="BE5" s="145"/>
      <c r="BF5" s="146"/>
      <c r="BG5" s="35" t="s">
        <v>83</v>
      </c>
      <c r="BH5" s="36" t="s">
        <v>84</v>
      </c>
      <c r="BI5" s="146"/>
      <c r="BJ5" s="80"/>
      <c r="BK5" s="37" t="s">
        <v>122</v>
      </c>
      <c r="BL5" s="38" t="s">
        <v>73</v>
      </c>
      <c r="BM5" s="39" t="s">
        <v>86</v>
      </c>
      <c r="BN5" s="40" t="s">
        <v>108</v>
      </c>
      <c r="BO5" s="165"/>
      <c r="BP5" s="168"/>
      <c r="BQ5" s="168"/>
      <c r="BR5" s="168"/>
      <c r="BS5" s="41" t="s">
        <v>74</v>
      </c>
      <c r="BT5" s="41" t="s">
        <v>11</v>
      </c>
      <c r="BU5" s="40" t="s">
        <v>73</v>
      </c>
      <c r="BV5" s="32" t="s">
        <v>69</v>
      </c>
      <c r="BW5" s="42" t="s">
        <v>77</v>
      </c>
      <c r="BX5" s="41" t="s">
        <v>78</v>
      </c>
      <c r="BY5" s="41" t="s">
        <v>79</v>
      </c>
      <c r="BZ5" s="41" t="s">
        <v>80</v>
      </c>
      <c r="CA5" s="42" t="s">
        <v>81</v>
      </c>
      <c r="CB5" s="42" t="s">
        <v>82</v>
      </c>
      <c r="CC5" s="42" t="s">
        <v>74</v>
      </c>
      <c r="CD5" s="43" t="s">
        <v>11</v>
      </c>
      <c r="CE5" s="42" t="s">
        <v>74</v>
      </c>
      <c r="CF5" s="43" t="s">
        <v>11</v>
      </c>
      <c r="CG5" s="42" t="s">
        <v>74</v>
      </c>
      <c r="CH5" s="43" t="s">
        <v>11</v>
      </c>
      <c r="CI5" s="42" t="s">
        <v>74</v>
      </c>
      <c r="CJ5" s="43" t="s">
        <v>11</v>
      </c>
      <c r="CK5" s="42" t="s">
        <v>74</v>
      </c>
      <c r="CL5" s="43" t="s">
        <v>11</v>
      </c>
      <c r="CM5" s="42" t="s">
        <v>74</v>
      </c>
      <c r="CN5" s="43" t="s">
        <v>11</v>
      </c>
      <c r="CO5" s="43" t="s">
        <v>74</v>
      </c>
      <c r="CP5" s="44" t="s">
        <v>11</v>
      </c>
      <c r="CQ5" s="165"/>
      <c r="CR5" s="168"/>
      <c r="CS5" s="168"/>
      <c r="CT5" s="168"/>
      <c r="CU5" s="41" t="s">
        <v>88</v>
      </c>
      <c r="CV5" s="41" t="s">
        <v>11</v>
      </c>
      <c r="CW5" s="40" t="s">
        <v>73</v>
      </c>
      <c r="CX5" s="32" t="s">
        <v>69</v>
      </c>
      <c r="CY5" s="42" t="s">
        <v>77</v>
      </c>
      <c r="CZ5" s="41" t="s">
        <v>78</v>
      </c>
      <c r="DA5" s="41" t="s">
        <v>79</v>
      </c>
      <c r="DB5" s="41" t="s">
        <v>80</v>
      </c>
      <c r="DC5" s="42" t="s">
        <v>81</v>
      </c>
      <c r="DD5" s="42" t="s">
        <v>82</v>
      </c>
      <c r="DE5" s="42" t="s">
        <v>74</v>
      </c>
      <c r="DF5" s="43" t="s">
        <v>11</v>
      </c>
      <c r="DG5" s="42" t="s">
        <v>74</v>
      </c>
      <c r="DH5" s="43" t="s">
        <v>11</v>
      </c>
      <c r="DI5" s="42" t="s">
        <v>74</v>
      </c>
      <c r="DJ5" s="43" t="s">
        <v>11</v>
      </c>
      <c r="DK5" s="42" t="s">
        <v>74</v>
      </c>
      <c r="DL5" s="43" t="s">
        <v>11</v>
      </c>
      <c r="DM5" s="42" t="s">
        <v>74</v>
      </c>
      <c r="DN5" s="43" t="s">
        <v>11</v>
      </c>
      <c r="DO5" s="42" t="s">
        <v>74</v>
      </c>
      <c r="DP5" s="43" t="s">
        <v>11</v>
      </c>
      <c r="DQ5" s="43" t="s">
        <v>74</v>
      </c>
      <c r="DR5" s="44" t="s">
        <v>11</v>
      </c>
      <c r="DS5" s="165"/>
      <c r="DT5" s="168"/>
      <c r="DU5" s="168"/>
      <c r="DV5" s="168"/>
      <c r="DW5" s="41" t="s">
        <v>88</v>
      </c>
      <c r="DX5" s="41" t="s">
        <v>11</v>
      </c>
      <c r="DY5" s="40" t="s">
        <v>73</v>
      </c>
      <c r="DZ5" s="32" t="s">
        <v>69</v>
      </c>
      <c r="EA5" s="42" t="s">
        <v>77</v>
      </c>
      <c r="EB5" s="41" t="s">
        <v>78</v>
      </c>
      <c r="EC5" s="41" t="s">
        <v>79</v>
      </c>
      <c r="ED5" s="41" t="s">
        <v>80</v>
      </c>
      <c r="EE5" s="42" t="s">
        <v>81</v>
      </c>
      <c r="EF5" s="42" t="s">
        <v>82</v>
      </c>
      <c r="EG5" s="42" t="s">
        <v>74</v>
      </c>
      <c r="EH5" s="43" t="s">
        <v>11</v>
      </c>
      <c r="EI5" s="42" t="s">
        <v>74</v>
      </c>
      <c r="EJ5" s="43" t="s">
        <v>11</v>
      </c>
      <c r="EK5" s="42" t="s">
        <v>74</v>
      </c>
      <c r="EL5" s="43" t="s">
        <v>11</v>
      </c>
      <c r="EM5" s="42" t="s">
        <v>74</v>
      </c>
      <c r="EN5" s="43" t="s">
        <v>11</v>
      </c>
      <c r="EO5" s="42" t="s">
        <v>74</v>
      </c>
      <c r="EP5" s="43" t="s">
        <v>11</v>
      </c>
      <c r="EQ5" s="42" t="s">
        <v>74</v>
      </c>
      <c r="ER5" s="43" t="s">
        <v>11</v>
      </c>
      <c r="ES5" s="43" t="s">
        <v>74</v>
      </c>
      <c r="ET5" s="43" t="s">
        <v>11</v>
      </c>
    </row>
    <row r="8" spans="1:150" s="175" customFormat="1" x14ac:dyDescent="0.25">
      <c r="A8" s="53" t="s">
        <v>15</v>
      </c>
      <c r="B8" s="54"/>
      <c r="C8" s="55" t="s">
        <v>123</v>
      </c>
      <c r="D8" s="56"/>
      <c r="E8" s="55"/>
      <c r="F8" s="57"/>
      <c r="G8" s="58"/>
      <c r="H8" s="57"/>
      <c r="I8" s="59">
        <f>I9+I13+I24+I164+I186+I248</f>
        <v>38798.241399999999</v>
      </c>
      <c r="J8" s="60">
        <f>IF(O8&gt;0,O8/I8*1000*12,0)</f>
        <v>733.95611173242503</v>
      </c>
      <c r="K8" s="60">
        <f t="shared" ref="K8" si="0">IF(O8&gt;0,(O8-Q8)/I8*1000*12,0)</f>
        <v>730.0760915416131</v>
      </c>
      <c r="L8" s="60">
        <f t="shared" ref="L8" si="1">IF(O8&gt;0,(Q8)/I8*1000*12,0)</f>
        <v>3.8800201908120515</v>
      </c>
      <c r="M8" s="60">
        <f>IF(O8&gt;0,P8/O8,0)</f>
        <v>32.879793644334988</v>
      </c>
      <c r="N8" s="60"/>
      <c r="O8" s="60">
        <f>O9+O13+O24+O164+O186+O248</f>
        <v>2373.0171999999998</v>
      </c>
      <c r="P8" s="60">
        <f>P9+P13+P24+P164+P186+P248</f>
        <v>78024.315850457599</v>
      </c>
      <c r="Q8" s="61">
        <f t="shared" ref="Q8:U8" si="2">Q9+Q13+Q24+Q164+Q186+Q248</f>
        <v>12.544830000000001</v>
      </c>
      <c r="R8" s="60">
        <f t="shared" si="2"/>
        <v>420.28662804082535</v>
      </c>
      <c r="S8" s="58"/>
      <c r="T8" s="62"/>
      <c r="U8" s="59">
        <f t="shared" si="2"/>
        <v>32260.289112903225</v>
      </c>
      <c r="V8" s="60">
        <f t="shared" ref="V8" si="3">IF(AA8&gt;0,AA8/U8*1000*12,0)</f>
        <v>409.98237709659361</v>
      </c>
      <c r="W8" s="60">
        <f t="shared" ref="W8" si="4">IF(AA8&gt;0,(AA8-AC8)/U8*1000*12,0)</f>
        <v>398.93068609312604</v>
      </c>
      <c r="X8" s="60">
        <f t="shared" ref="X8" si="5">IF(AA8&gt;0,(AC8)/U8*1000*12,0)</f>
        <v>11.051691003467562</v>
      </c>
      <c r="Y8" s="60">
        <f t="shared" ref="Y8" si="6">IF(AA8&gt;0,AB8/AA8,0)</f>
        <v>71.65223123122037</v>
      </c>
      <c r="Z8" s="60"/>
      <c r="AA8" s="60">
        <f>AA9+AA13+AA24+AA164+AA186+AA248</f>
        <v>1102.1791680276185</v>
      </c>
      <c r="AB8" s="60">
        <f>AB9+AB13+AB24+AB164+AB186+AB248</f>
        <v>78973.596605749015</v>
      </c>
      <c r="AC8" s="61">
        <f>AC9+AC13+AC24+AC164+AC186+AC248</f>
        <v>29.710895579861258</v>
      </c>
      <c r="AD8" s="63">
        <f>AD9+AD13+AD24+AD164+AD186+AD248</f>
        <v>2020.3408994305657</v>
      </c>
      <c r="AE8" s="58"/>
      <c r="AF8" s="62"/>
      <c r="AG8" s="59">
        <f t="shared" ref="AG8:AP8" si="7">AS8</f>
        <v>37461.599999999999</v>
      </c>
      <c r="AH8" s="60">
        <f t="shared" si="7"/>
        <v>390.38886577733825</v>
      </c>
      <c r="AI8" s="60">
        <f t="shared" si="7"/>
        <v>353.3612961491213</v>
      </c>
      <c r="AJ8" s="60">
        <f t="shared" si="7"/>
        <v>37.027569628217002</v>
      </c>
      <c r="AK8" s="60">
        <f t="shared" si="7"/>
        <v>64.846561665805609</v>
      </c>
      <c r="AL8" s="60">
        <f t="shared" si="7"/>
        <v>0</v>
      </c>
      <c r="AM8" s="60">
        <f t="shared" si="7"/>
        <v>1218.7159611836946</v>
      </c>
      <c r="AN8" s="60">
        <f t="shared" si="7"/>
        <v>79029.539730000004</v>
      </c>
      <c r="AO8" s="61">
        <f t="shared" si="7"/>
        <v>116.96652002361849</v>
      </c>
      <c r="AP8" s="63">
        <f t="shared" si="7"/>
        <v>7495.7870000000003</v>
      </c>
      <c r="AQ8" s="58"/>
      <c r="AR8" s="62"/>
      <c r="AS8" s="59">
        <f t="shared" ref="AS8" si="8">AS9+AS13+AS24+AS164+AS186+AS248</f>
        <v>37461.599999999999</v>
      </c>
      <c r="AT8" s="60">
        <f>IF(AY8&gt;0,AZ8/AW8/AS8*1000*12,0)</f>
        <v>390.38886577733825</v>
      </c>
      <c r="AU8" s="60">
        <f>IF(AY8&gt;0,((AZ8-BB8)/AW8)/AS8*1000*12,0)</f>
        <v>353.3612961491213</v>
      </c>
      <c r="AV8" s="60">
        <f>IF(AY8&gt;0,(BB8/AW8)/AS8*1000*12,0)</f>
        <v>37.027569628217002</v>
      </c>
      <c r="AW8" s="60">
        <v>64.846561665805609</v>
      </c>
      <c r="AX8" s="60"/>
      <c r="AY8" s="60">
        <f>AY9+AY13+AY24+AY164+AY186+AY248</f>
        <v>1218.7159611836946</v>
      </c>
      <c r="AZ8" s="60">
        <f>AZ9+AZ13+AZ24+AZ164+AZ186+AZ248</f>
        <v>79029.539730000004</v>
      </c>
      <c r="BA8" s="61">
        <f>BA9+BA13+BA24+BA164+BA186+BA248</f>
        <v>116.96652002361849</v>
      </c>
      <c r="BB8" s="63">
        <f>BB9+BB13+BB24+BB164+BB186+BB248</f>
        <v>7495.7870000000003</v>
      </c>
      <c r="BC8" s="58"/>
      <c r="BD8" s="62"/>
      <c r="BE8" s="59">
        <v>37466.22</v>
      </c>
      <c r="BF8" s="60">
        <v>389.39500805584458</v>
      </c>
      <c r="BG8" s="60">
        <v>352.29021659996255</v>
      </c>
      <c r="BH8" s="60">
        <v>37.104791455882022</v>
      </c>
      <c r="BI8" s="60">
        <v>64.703624519763977</v>
      </c>
      <c r="BJ8" s="60">
        <v>0</v>
      </c>
      <c r="BK8" s="60">
        <v>1215.7632532268374</v>
      </c>
      <c r="BL8" s="60">
        <v>78664.289041716009</v>
      </c>
      <c r="BM8" s="60">
        <v>116.96652000000002</v>
      </c>
      <c r="BN8" s="64">
        <v>7495.7870017160012</v>
      </c>
      <c r="BO8" s="59">
        <f>AG8-I8</f>
        <v>-1336.6414000000004</v>
      </c>
      <c r="BP8" s="60">
        <f t="shared" ref="BP8" si="9">AH8-J8</f>
        <v>-343.56724595508678</v>
      </c>
      <c r="BQ8" s="60"/>
      <c r="BR8" s="65">
        <f t="shared" ref="BR8" si="10">AK8-M8</f>
        <v>31.966768021470621</v>
      </c>
      <c r="BS8" s="60">
        <f t="shared" ref="BS8" si="11">AM8-O8</f>
        <v>-1154.3012388163052</v>
      </c>
      <c r="BT8" s="66">
        <f t="shared" ref="BT8" si="12">IF($O$12&gt;0,BS8/$O$12,0)</f>
        <v>-0.39468572549267611</v>
      </c>
      <c r="BU8" s="63">
        <f t="shared" ref="BU8" si="13">AN8-P8</f>
        <v>1005.2238795424055</v>
      </c>
      <c r="BV8" s="67">
        <f t="shared" ref="BV8:CM8" si="14">BV9+BV13+BV24+BV164+BV186+BV248</f>
        <v>0</v>
      </c>
      <c r="BW8" s="60">
        <f t="shared" si="14"/>
        <v>-6018.2267603477876</v>
      </c>
      <c r="BX8" s="60">
        <f t="shared" si="14"/>
        <v>-6018.2267603477876</v>
      </c>
      <c r="BY8" s="60">
        <f t="shared" si="14"/>
        <v>0</v>
      </c>
      <c r="BZ8" s="60">
        <f t="shared" si="14"/>
        <v>5428.7040015771672</v>
      </c>
      <c r="CA8" s="60">
        <f t="shared" si="14"/>
        <v>-28875.294363267672</v>
      </c>
      <c r="CB8" s="60">
        <f t="shared" si="14"/>
        <v>30470.041001580688</v>
      </c>
      <c r="CC8" s="60">
        <f t="shared" si="14"/>
        <v>0</v>
      </c>
      <c r="CD8" s="68">
        <f t="shared" ref="CD8" si="15">CC8/$O$12</f>
        <v>0</v>
      </c>
      <c r="CE8" s="60">
        <f t="shared" si="14"/>
        <v>-208.67202816710753</v>
      </c>
      <c r="CF8" s="69">
        <f>CE8/$O$12</f>
        <v>-7.135041361613724E-2</v>
      </c>
      <c r="CG8" s="60">
        <f t="shared" si="14"/>
        <v>-208.67202816710753</v>
      </c>
      <c r="CH8" s="69">
        <f t="shared" ref="CH8" si="16">CG8/$O$12</f>
        <v>-7.135041361613724E-2</v>
      </c>
      <c r="CI8" s="60">
        <f t="shared" si="14"/>
        <v>0</v>
      </c>
      <c r="CJ8" s="69">
        <f>CI8/$O$12</f>
        <v>0</v>
      </c>
      <c r="CK8" s="60">
        <f t="shared" ref="CK8" si="17">CK9+CK13+CK24+CK164+CK186+CK248</f>
        <v>78.626683177223669</v>
      </c>
      <c r="CL8" s="70">
        <f>CK8/$O$12</f>
        <v>2.6884515453442965E-2</v>
      </c>
      <c r="CM8" s="71">
        <f t="shared" si="14"/>
        <v>-831.61462102210203</v>
      </c>
      <c r="CN8" s="70">
        <f>CM8/$O$12</f>
        <v>-0.28435074744007877</v>
      </c>
      <c r="CO8" s="71">
        <f t="shared" ref="CO8" si="18">CO9+CO13+CO24+CO164+CO186+CO248</f>
        <v>-192.6413003045098</v>
      </c>
      <c r="CP8" s="72">
        <f>CO8/$O$12</f>
        <v>-6.5869089292936084E-2</v>
      </c>
      <c r="CQ8" s="59">
        <f t="shared" ref="CQ8:CR8" si="19">AG8-U8</f>
        <v>5201.3108870967735</v>
      </c>
      <c r="CR8" s="60">
        <f t="shared" si="19"/>
        <v>-19.593511319255356</v>
      </c>
      <c r="CS8" s="60"/>
      <c r="CT8" s="65">
        <f t="shared" ref="CT8" si="20">AK8-Y8</f>
        <v>-6.8056695654147603</v>
      </c>
      <c r="CU8" s="60">
        <f t="shared" ref="CU8" si="21">AM8-AA8</f>
        <v>116.5367931560761</v>
      </c>
      <c r="CV8" s="66">
        <f t="shared" ref="CV8" si="22">IF($AA$12&gt;0,CU8/$AA$12,0)</f>
        <v>7.1736275711630562E-2</v>
      </c>
      <c r="CW8" s="63">
        <f t="shared" ref="CW8" si="23">AN8-AB8</f>
        <v>55.943124250989058</v>
      </c>
      <c r="CX8" s="67">
        <f t="shared" ref="CX8:DE8" si="24">CX9+CX13+CX24+CX164+CX186+CX248</f>
        <v>0</v>
      </c>
      <c r="CY8" s="60" t="e">
        <f t="shared" si="24"/>
        <v>#VALUE!</v>
      </c>
      <c r="CZ8" s="60" t="e">
        <f t="shared" si="24"/>
        <v>#VALUE!</v>
      </c>
      <c r="DA8" s="60">
        <f t="shared" si="24"/>
        <v>0</v>
      </c>
      <c r="DB8" s="60">
        <f t="shared" si="24"/>
        <v>794.56824319916836</v>
      </c>
      <c r="DC8" s="60" t="e">
        <f t="shared" si="24"/>
        <v>#VALUE!</v>
      </c>
      <c r="DD8" s="60" t="e">
        <f t="shared" si="24"/>
        <v>#VALUE!</v>
      </c>
      <c r="DE8" s="60">
        <f t="shared" si="24"/>
        <v>0</v>
      </c>
      <c r="DF8" s="68">
        <f t="shared" ref="DF8" si="25">DE8/$AA$12</f>
        <v>0</v>
      </c>
      <c r="DG8" s="60" t="e">
        <f t="shared" ref="DG8" si="26">DG9+DG13+DG24+DG164+DG186+DG248</f>
        <v>#VALUE!</v>
      </c>
      <c r="DH8" s="69" t="e">
        <f t="shared" ref="DH8" si="27">DG8/$AA$12</f>
        <v>#VALUE!</v>
      </c>
      <c r="DI8" s="60" t="e">
        <f t="shared" ref="DI8" si="28">DI9+DI13+DI24+DI164+DI186+DI248</f>
        <v>#VALUE!</v>
      </c>
      <c r="DJ8" s="69" t="e">
        <f t="shared" ref="DJ8" si="29">DI8/$AA$12</f>
        <v>#VALUE!</v>
      </c>
      <c r="DK8" s="60">
        <f t="shared" ref="DK8" si="30">DK9+DK13+DK24+DK164+DK186+DK248</f>
        <v>0</v>
      </c>
      <c r="DL8" s="69">
        <f t="shared" ref="DL8" si="31">DK8/$AA$12</f>
        <v>0</v>
      </c>
      <c r="DM8" s="60">
        <f t="shared" ref="DM8" si="32">DM9+DM13+DM24+DM164+DM186+DM248</f>
        <v>67.107862271191493</v>
      </c>
      <c r="DN8" s="70">
        <f t="shared" ref="DN8" si="33">DM8/$AA$12</f>
        <v>4.130942666198914E-2</v>
      </c>
      <c r="DO8" s="71" t="e">
        <f t="shared" ref="DO8" si="34">DO9+DO13+DO24+DO164+DO186+DO248</f>
        <v>#VALUE!</v>
      </c>
      <c r="DP8" s="70" t="e">
        <f t="shared" ref="DP8" si="35">DO8/$AA$12</f>
        <v>#VALUE!</v>
      </c>
      <c r="DQ8" s="71">
        <f t="shared" ref="DQ8" si="36">DQ9+DQ13+DQ24+DQ164+DQ186+DQ248</f>
        <v>-208.30483996624565</v>
      </c>
      <c r="DR8" s="72">
        <f t="shared" ref="DR8" si="37">DQ8/$AA$12</f>
        <v>-0.1282257133322067</v>
      </c>
      <c r="DS8" s="59">
        <f t="shared" ref="DS8:DT8" si="38">AG8-BE8</f>
        <v>-4.6200000000026193</v>
      </c>
      <c r="DT8" s="60">
        <f t="shared" si="38"/>
        <v>0.99385772149366858</v>
      </c>
      <c r="DU8" s="60"/>
      <c r="DV8" s="65">
        <f t="shared" ref="DV8" si="39">AK8-BI8</f>
        <v>0.14293714604163199</v>
      </c>
      <c r="DW8" s="60">
        <f t="shared" ref="DW8" si="40">AM8-BK8</f>
        <v>2.952707956857239</v>
      </c>
      <c r="DX8" s="66">
        <f t="shared" ref="DX8" si="41">IF($BK$12&gt;0,DW8/$BK$12,0)</f>
        <v>1.8182355510750466E-3</v>
      </c>
      <c r="DY8" s="63">
        <f t="shared" ref="DY8" si="42">AN8-BL8</f>
        <v>365.25068828399526</v>
      </c>
      <c r="DZ8" s="67">
        <f t="shared" ref="DZ8:EG8" si="43">DZ9+DZ13+DZ24+DZ164+DZ186+DZ248</f>
        <v>0</v>
      </c>
      <c r="EA8" s="60">
        <f t="shared" si="43"/>
        <v>-276.48565000000002</v>
      </c>
      <c r="EB8" s="60">
        <f t="shared" si="43"/>
        <v>-276.48565000000002</v>
      </c>
      <c r="EC8" s="60">
        <f t="shared" si="43"/>
        <v>0</v>
      </c>
      <c r="ED8" s="60">
        <f t="shared" si="43"/>
        <v>-1.7160005540972634E-6</v>
      </c>
      <c r="EE8" s="60">
        <f t="shared" si="43"/>
        <v>295.56674440026717</v>
      </c>
      <c r="EF8" s="60">
        <f t="shared" si="43"/>
        <v>346.16956374974524</v>
      </c>
      <c r="EG8" s="60">
        <f t="shared" si="43"/>
        <v>0</v>
      </c>
      <c r="EH8" s="68">
        <f t="shared" ref="EH8" si="44">IF($BK$12&gt;0,EG8/$BK$12,0)</f>
        <v>0</v>
      </c>
      <c r="EI8" s="60">
        <f t="shared" ref="EI8" si="45">EI9+EI13+EI24+EI164+EI186+EI248</f>
        <v>-4.0111600000000003</v>
      </c>
      <c r="EJ8" s="69">
        <f t="shared" ref="EJ8" si="46">IF($BK$12&gt;0,EI8/$BK$12,0)</f>
        <v>-2.4700152604366778E-3</v>
      </c>
      <c r="EK8" s="60">
        <f t="shared" ref="EK8" si="47">EK9+EK13+EK24+EK164+EK186+EK248</f>
        <v>-4.0111600000000003</v>
      </c>
      <c r="EL8" s="69">
        <f t="shared" ref="EL8" si="48">EK8/$AA$12</f>
        <v>-2.4691401907558099E-3</v>
      </c>
      <c r="EM8" s="60">
        <f t="shared" ref="EM8" si="49">EM9+EM13+EM24+EM164+EM186+EM248</f>
        <v>0</v>
      </c>
      <c r="EN8" s="69">
        <f t="shared" ref="EN8" si="50">EM8/$AA$12</f>
        <v>0</v>
      </c>
      <c r="EO8" s="60">
        <f t="shared" ref="EO8" si="51">EO9+EO13+EO24+EO164+EO186+EO248</f>
        <v>2.3618468958375161E-8</v>
      </c>
      <c r="EP8" s="70">
        <f t="shared" ref="EP8" si="52">IF($BK$12&gt;0,EO8/$BK$12,0)</f>
        <v>1.454391715995787E-11</v>
      </c>
      <c r="EQ8" s="71">
        <f t="shared" ref="EQ8" si="53">EQ9+EQ13+EQ24+EQ164+EQ186+EQ248</f>
        <v>4.5766519370160257</v>
      </c>
      <c r="ER8" s="70">
        <f t="shared" ref="ER8" si="54">IF($BK$12&gt;0,EQ8/$BK$12,0)</f>
        <v>2.8182371498859842E-3</v>
      </c>
      <c r="ES8" s="71">
        <f t="shared" ref="ES8" si="55">ES9+ES13+ES24+ES164+ES186+ES248</f>
        <v>2.3872151467583231</v>
      </c>
      <c r="ET8" s="72">
        <f t="shared" ref="ET8" si="56">IF($BK$12&gt;0,ES8/$BK$12,0)</f>
        <v>1.4700131239937179E-3</v>
      </c>
    </row>
    <row r="14" spans="1:150" x14ac:dyDescent="0.25">
      <c r="A14">
        <v>861</v>
      </c>
    </row>
  </sheetData>
  <mergeCells count="111">
    <mergeCell ref="EQ4:ER4"/>
    <mergeCell ref="ES4:ET4"/>
    <mergeCell ref="DM4:DN4"/>
    <mergeCell ref="DO4:DP4"/>
    <mergeCell ref="DQ4:DR4"/>
    <mergeCell ref="EG4:EH4"/>
    <mergeCell ref="EI4:EJ4"/>
    <mergeCell ref="EK4:EL4"/>
    <mergeCell ref="DV3:DV5"/>
    <mergeCell ref="DW3:DY3"/>
    <mergeCell ref="DZ3:EF3"/>
    <mergeCell ref="EG3:ET3"/>
    <mergeCell ref="DS3:DS5"/>
    <mergeCell ref="DT3:DT5"/>
    <mergeCell ref="DU3:DU5"/>
    <mergeCell ref="CU3:CW3"/>
    <mergeCell ref="CX3:DD3"/>
    <mergeCell ref="DE3:DR3"/>
    <mergeCell ref="DE4:DF4"/>
    <mergeCell ref="DG4:DH4"/>
    <mergeCell ref="DI4:DJ4"/>
    <mergeCell ref="DK4:DL4"/>
    <mergeCell ref="EM4:EN4"/>
    <mergeCell ref="EO4:EP4"/>
    <mergeCell ref="BV3:CB3"/>
    <mergeCell ref="CC3:CP3"/>
    <mergeCell ref="CQ3:CQ5"/>
    <mergeCell ref="CR3:CR5"/>
    <mergeCell ref="CS3:CS5"/>
    <mergeCell ref="CT3:CT5"/>
    <mergeCell ref="CO4:CP4"/>
    <mergeCell ref="BM3:BN4"/>
    <mergeCell ref="BO3:BO5"/>
    <mergeCell ref="BP3:BP5"/>
    <mergeCell ref="BQ3:BQ5"/>
    <mergeCell ref="BR3:BR5"/>
    <mergeCell ref="BS3:BU3"/>
    <mergeCell ref="CC4:CD4"/>
    <mergeCell ref="CE4:CF4"/>
    <mergeCell ref="CG4:CH4"/>
    <mergeCell ref="CI4:CJ4"/>
    <mergeCell ref="CK4:CL4"/>
    <mergeCell ref="CM4:CN4"/>
    <mergeCell ref="BF3:BF5"/>
    <mergeCell ref="BG3:BH4"/>
    <mergeCell ref="BI3:BI5"/>
    <mergeCell ref="BJ3:BJ5"/>
    <mergeCell ref="BK3:BL4"/>
    <mergeCell ref="AW3:AW5"/>
    <mergeCell ref="AX3:AX5"/>
    <mergeCell ref="AY3:AZ4"/>
    <mergeCell ref="BA3:BB4"/>
    <mergeCell ref="BC3:BC5"/>
    <mergeCell ref="BD3:BD5"/>
    <mergeCell ref="AT3:AT5"/>
    <mergeCell ref="AU3:AV4"/>
    <mergeCell ref="AG3:AG5"/>
    <mergeCell ref="AH3:AH5"/>
    <mergeCell ref="AI3:AJ4"/>
    <mergeCell ref="AK3:AK5"/>
    <mergeCell ref="AL3:AL5"/>
    <mergeCell ref="AM3:AN4"/>
    <mergeCell ref="BE3:BE5"/>
    <mergeCell ref="DZ2:ET2"/>
    <mergeCell ref="G3:G5"/>
    <mergeCell ref="H3:H5"/>
    <mergeCell ref="I3:I5"/>
    <mergeCell ref="J3:J5"/>
    <mergeCell ref="K3:L4"/>
    <mergeCell ref="M3:M5"/>
    <mergeCell ref="N3:N5"/>
    <mergeCell ref="O3:P4"/>
    <mergeCell ref="AS1:BB2"/>
    <mergeCell ref="BC1:BD2"/>
    <mergeCell ref="BE1:BN2"/>
    <mergeCell ref="BO1:CP1"/>
    <mergeCell ref="CQ1:DR1"/>
    <mergeCell ref="DS1:ET1"/>
    <mergeCell ref="BO2:BU2"/>
    <mergeCell ref="BV2:CP2"/>
    <mergeCell ref="CQ2:CW2"/>
    <mergeCell ref="CX2:DR2"/>
    <mergeCell ref="G1:R2"/>
    <mergeCell ref="S1:T2"/>
    <mergeCell ref="U1:AD2"/>
    <mergeCell ref="AE1:AF2"/>
    <mergeCell ref="Y3:Y5"/>
    <mergeCell ref="AG1:AP2"/>
    <mergeCell ref="AQ1:AR2"/>
    <mergeCell ref="A1:A5"/>
    <mergeCell ref="B1:B5"/>
    <mergeCell ref="C1:C5"/>
    <mergeCell ref="D1:D5"/>
    <mergeCell ref="E1:E5"/>
    <mergeCell ref="F1:F5"/>
    <mergeCell ref="DS2:DY2"/>
    <mergeCell ref="Z3:Z5"/>
    <mergeCell ref="AA3:AB4"/>
    <mergeCell ref="AC3:AD4"/>
    <mergeCell ref="AE3:AE5"/>
    <mergeCell ref="AF3:AF5"/>
    <mergeCell ref="Q3:R4"/>
    <mergeCell ref="S3:S5"/>
    <mergeCell ref="T3:T5"/>
    <mergeCell ref="U3:U5"/>
    <mergeCell ref="V3:V5"/>
    <mergeCell ref="W3:X4"/>
    <mergeCell ref="AO3:AP4"/>
    <mergeCell ref="AQ3:AQ5"/>
    <mergeCell ref="AR3:AR5"/>
    <mergeCell ref="AS3:A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map FA</vt:lpstr>
      <vt:lpstr>Additional_KZ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2015-06-27T12:40:28Z</dcterms:modified>
</cp:coreProperties>
</file>