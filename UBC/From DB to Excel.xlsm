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consultant_cognos7\Desktop\FA macro\"/>
    </mc:Choice>
  </mc:AlternateContent>
  <bookViews>
    <workbookView xWindow="0" yWindow="0" windowWidth="19320" windowHeight="7695" activeTab="4"/>
  </bookViews>
  <sheets>
    <sheet name="Main" sheetId="1" r:id="rId1"/>
    <sheet name="map FA" sheetId="7" r:id="rId2"/>
    <sheet name="Additional_KZ" sheetId="3" r:id="rId3"/>
    <sheet name="temp_FA" sheetId="8" r:id="rId4"/>
    <sheet name="Additional_FA" sheetId="5" r:id="rId5"/>
  </sheets>
  <functionGroups builtInGroupCount="18"/>
  <externalReferences>
    <externalReference r:id="rId6"/>
  </externalReferences>
  <calcPr calcId="152511" refMode="R1C1" concurrentCalc="0"/>
  <fileRecoveryPr repairLoad="1"/>
</workbook>
</file>

<file path=xl/calcChain.xml><?xml version="1.0" encoding="utf-8"?>
<calcChain xmlns="http://schemas.openxmlformats.org/spreadsheetml/2006/main">
  <c r="ET8" i="5" l="1"/>
  <c r="ER8" i="5"/>
  <c r="EP8" i="5"/>
  <c r="EN8" i="5"/>
  <c r="EL8" i="5"/>
  <c r="EJ8" i="5"/>
  <c r="EH8" i="5"/>
  <c r="DX8" i="5"/>
  <c r="DR8" i="5"/>
  <c r="DP8" i="5"/>
  <c r="DN8" i="5"/>
  <c r="DL8" i="5"/>
  <c r="DJ8" i="5"/>
  <c r="DH8" i="5"/>
  <c r="DF8" i="5"/>
  <c r="CV8" i="5"/>
  <c r="CP8" i="5"/>
  <c r="CN8" i="5"/>
  <c r="CL8" i="5"/>
  <c r="CJ8" i="5"/>
  <c r="CH8" i="5"/>
  <c r="CF8" i="5"/>
  <c r="CD8" i="5"/>
  <c r="BT8" i="5"/>
  <c r="BA8" i="5"/>
  <c r="AO8" i="5"/>
  <c r="Q8" i="5"/>
  <c r="CK8" i="5"/>
  <c r="DT8" i="5"/>
  <c r="AZ8" i="5"/>
  <c r="AN8" i="5"/>
  <c r="P8" i="5"/>
  <c r="BU8" i="5"/>
  <c r="EO8" i="5"/>
  <c r="EQ8" i="5"/>
  <c r="EK8" i="5"/>
  <c r="EI8" i="5"/>
  <c r="DV8" i="5"/>
  <c r="EF8" i="5"/>
  <c r="CT8" i="5"/>
  <c r="ED8" i="5"/>
  <c r="EE8" i="5"/>
  <c r="EB8" i="5"/>
  <c r="EA8" i="5"/>
  <c r="AL8" i="5"/>
  <c r="CR8" i="5"/>
  <c r="DY8" i="5"/>
  <c r="AK8" i="5"/>
  <c r="CQ8" i="5"/>
  <c r="AY8" i="5"/>
  <c r="AM8" i="5"/>
  <c r="O8" i="5"/>
  <c r="BS8" i="5"/>
  <c r="DW8" i="5"/>
  <c r="DS8" i="5"/>
  <c r="AS8" i="5"/>
  <c r="DM8" i="5"/>
  <c r="DO8" i="5"/>
  <c r="DI8" i="5"/>
  <c r="DG8" i="5"/>
  <c r="DD8" i="5"/>
  <c r="M8" i="5"/>
  <c r="BR8" i="5"/>
  <c r="AT8" i="5"/>
  <c r="DB8" i="5"/>
  <c r="DC8" i="5"/>
  <c r="CZ8" i="5"/>
  <c r="CY8" i="5"/>
  <c r="AH8" i="5"/>
  <c r="J8" i="5"/>
  <c r="BP8" i="5"/>
  <c r="CW8" i="5"/>
  <c r="AG8" i="5"/>
  <c r="I8" i="5"/>
  <c r="BO8" i="5"/>
  <c r="CU8" i="5"/>
  <c r="CM8" i="5"/>
  <c r="CG8" i="5"/>
  <c r="CE8" i="5"/>
  <c r="CB8" i="5"/>
  <c r="BB8" i="5"/>
  <c r="AP8" i="5"/>
  <c r="R8" i="5"/>
  <c r="BZ8" i="5"/>
  <c r="CA8" i="5"/>
  <c r="BX8" i="5"/>
  <c r="BW8" i="5"/>
  <c r="AB8" i="5"/>
  <c r="AA8" i="5"/>
  <c r="Y8" i="5"/>
  <c r="V8" i="5"/>
  <c r="U8" i="5"/>
  <c r="AV8" i="5"/>
  <c r="AU8" i="5"/>
  <c r="AJ8" i="5"/>
  <c r="AI8" i="5"/>
  <c r="AD8" i="5"/>
  <c r="AC8" i="5"/>
  <c r="X8" i="5"/>
  <c r="W8" i="5"/>
  <c r="L8" i="5"/>
  <c r="K8" i="5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4" i="1"/>
</calcChain>
</file>

<file path=xl/sharedStrings.xml><?xml version="1.0" encoding="utf-8"?>
<sst xmlns="http://schemas.openxmlformats.org/spreadsheetml/2006/main" count="724" uniqueCount="141">
  <si>
    <t>№ п/п</t>
  </si>
  <si>
    <t>Наименование статьи</t>
  </si>
  <si>
    <t>1 квартал</t>
  </si>
  <si>
    <t>2 квартал</t>
  </si>
  <si>
    <t>3 квартал</t>
  </si>
  <si>
    <t>4 квартал</t>
  </si>
  <si>
    <t>Прогноз</t>
  </si>
  <si>
    <t>План</t>
  </si>
  <si>
    <t>Факт</t>
  </si>
  <si>
    <t>отклонение</t>
  </si>
  <si>
    <t>всего</t>
  </si>
  <si>
    <t>%</t>
  </si>
  <si>
    <t>2015 год</t>
  </si>
  <si>
    <t>БДР (РСБУ)</t>
  </si>
  <si>
    <t>тыс.долл.США</t>
  </si>
  <si>
    <t>1</t>
  </si>
  <si>
    <t>Доходы от операционной деятельности</t>
  </si>
  <si>
    <t>Доделать темплейт под проценты и дату</t>
  </si>
  <si>
    <t>Заполнение рабочей области белым</t>
  </si>
  <si>
    <t>Возврат в содержание</t>
  </si>
  <si>
    <t>БДР РСБУ</t>
  </si>
  <si>
    <t>Остаток на начало</t>
  </si>
  <si>
    <t>Поступление/Выбытие</t>
  </si>
  <si>
    <t>Остаток на конец</t>
  </si>
  <si>
    <t>отклонение план/прогноз</t>
  </si>
  <si>
    <t>2015-01-01</t>
  </si>
  <si>
    <t>2015-02-01</t>
  </si>
  <si>
    <t>2015-03-01</t>
  </si>
  <si>
    <t>1-й кв (2015)</t>
  </si>
  <si>
    <t>2-й кв (2015)</t>
  </si>
  <si>
    <t>2015-04-01</t>
  </si>
  <si>
    <t>2015-06-01</t>
  </si>
  <si>
    <t>3-й кв (2015)</t>
  </si>
  <si>
    <t>2015-07-01</t>
  </si>
  <si>
    <t>2015-08-01</t>
  </si>
  <si>
    <t>2015-09-01</t>
  </si>
  <si>
    <t>4-й кв (2015)</t>
  </si>
  <si>
    <t>2015-10-01</t>
  </si>
  <si>
    <t>2015-11-01</t>
  </si>
  <si>
    <t>2015-12-01</t>
  </si>
  <si>
    <t>2015-05-01</t>
  </si>
  <si>
    <t>Операционная деятельность</t>
  </si>
  <si>
    <t>Execution time</t>
  </si>
  <si>
    <t>Inputs</t>
  </si>
  <si>
    <t>links</t>
  </si>
  <si>
    <t>table/view name</t>
  </si>
  <si>
    <t>УО_БКЗ_VIEW</t>
  </si>
  <si>
    <t>sec</t>
  </si>
  <si>
    <t>№ статьи</t>
  </si>
  <si>
    <t>№ помещения</t>
  </si>
  <si>
    <t>Наименование</t>
  </si>
  <si>
    <t>Вывеска</t>
  </si>
  <si>
    <t>Валюта договора</t>
  </si>
  <si>
    <t>Дата первого открытия помещения</t>
  </si>
  <si>
    <t>План Январь 2015</t>
  </si>
  <si>
    <t>Прогноз Январь 2015</t>
  </si>
  <si>
    <t>Факт Январь 2015</t>
  </si>
  <si>
    <t>Предыдущий прогноз Январь 2015</t>
  </si>
  <si>
    <t>Отклонения</t>
  </si>
  <si>
    <t>Анализ отклонений за счет факторов</t>
  </si>
  <si>
    <t>отклонения</t>
  </si>
  <si>
    <t>Дата открытия помещения</t>
  </si>
  <si>
    <t>Время работы в периоде</t>
  </si>
  <si>
    <t>Площадь, м2, м/места</t>
  </si>
  <si>
    <t>ср.ставка/$/год</t>
  </si>
  <si>
    <t>В т.ч.</t>
  </si>
  <si>
    <t>ср.             курс</t>
  </si>
  <si>
    <t>ср.ставка руб/год</t>
  </si>
  <si>
    <t>Итого</t>
  </si>
  <si>
    <t>Площадь, м2</t>
  </si>
  <si>
    <t>ср.ставка, $ в год</t>
  </si>
  <si>
    <t>ср.ставка, руб., в год</t>
  </si>
  <si>
    <t>ср. курс</t>
  </si>
  <si>
    <t>тыс.руб.</t>
  </si>
  <si>
    <t>тыс. $</t>
  </si>
  <si>
    <t>ср.ставка/$/год (без НДС)</t>
  </si>
  <si>
    <t>ср.ставка/руб./год (без НДС)</t>
  </si>
  <si>
    <t>Загрузка</t>
  </si>
  <si>
    <t>Ротация</t>
  </si>
  <si>
    <t>Раннее/позднее открытие</t>
  </si>
  <si>
    <t>Доплата с ТО</t>
  </si>
  <si>
    <t>ср.ставка, $/год</t>
  </si>
  <si>
    <t>Курс</t>
  </si>
  <si>
    <t>Ф.ставка $/год</t>
  </si>
  <si>
    <t xml:space="preserve">ставка ТО $/год </t>
  </si>
  <si>
    <t>тыс $</t>
  </si>
  <si>
    <t>ТО $</t>
  </si>
  <si>
    <t>ТО руб</t>
  </si>
  <si>
    <t>тыс.усл.ед.</t>
  </si>
  <si>
    <t>Факт Январь 2014</t>
  </si>
  <si>
    <t>Факт Январь 2015 год</t>
  </si>
  <si>
    <t>Предыдущий прогноз Январь 2015 год</t>
  </si>
  <si>
    <t>Факт Январь 2014/Факт Январь 2015</t>
  </si>
  <si>
    <t>Факт Январь 2015/План Январь 2015</t>
  </si>
  <si>
    <t>Факт Январь 2015/Предыдущий прогноз Январь 2015</t>
  </si>
  <si>
    <t>calculated</t>
  </si>
  <si>
    <t>Дата открытия</t>
  </si>
  <si>
    <t>Арендатор</t>
  </si>
  <si>
    <t>ставка ТО $/год</t>
  </si>
  <si>
    <t>Выручка</t>
  </si>
  <si>
    <t>ср.курс</t>
  </si>
  <si>
    <t>Выручка $</t>
  </si>
  <si>
    <t>Дата закрытия</t>
  </si>
  <si>
    <t>Итого тыс.$</t>
  </si>
  <si>
    <t>Кол.дней в мес.</t>
  </si>
  <si>
    <t>Итого тыс.руб</t>
  </si>
  <si>
    <t>Кол.дней работы</t>
  </si>
  <si>
    <t>Коэф.ротации</t>
  </si>
  <si>
    <t>ТО руб.</t>
  </si>
  <si>
    <t>Курс фикс</t>
  </si>
  <si>
    <t>Откл. Выручка</t>
  </si>
  <si>
    <t>Откл.Выручка $</t>
  </si>
  <si>
    <t>Откл.Итого %</t>
  </si>
  <si>
    <t>Откл.Итого тыс.руб</t>
  </si>
  <si>
    <t>Откл.Итого тыс.усл.ед.</t>
  </si>
  <si>
    <t>Откл.Площадь м2/м.места</t>
  </si>
  <si>
    <t>Откл.ср.курс</t>
  </si>
  <si>
    <t>Откл.Сред.ставка/$/год без НДС</t>
  </si>
  <si>
    <t>Разница</t>
  </si>
  <si>
    <t>xxxx</t>
  </si>
  <si>
    <t>Площадь , м2, м / места</t>
  </si>
  <si>
    <t xml:space="preserve"> ср.курс   </t>
  </si>
  <si>
    <t>тыс.$</t>
  </si>
  <si>
    <t>Аренда помещений</t>
  </si>
  <si>
    <t>ФА_Доходы_Отклонения_по_Факторам</t>
  </si>
  <si>
    <t>5</t>
  </si>
  <si>
    <t>Прочие</t>
  </si>
  <si>
    <t>5.1</t>
  </si>
  <si>
    <t>Рекламные конструкции</t>
  </si>
  <si>
    <t>5.2</t>
  </si>
  <si>
    <t>Промо-места</t>
  </si>
  <si>
    <t>5.3</t>
  </si>
  <si>
    <t>Навигация, букирование</t>
  </si>
  <si>
    <t>5.4</t>
  </si>
  <si>
    <t>Медиа-экраны</t>
  </si>
  <si>
    <t>2</t>
  </si>
  <si>
    <t xml:space="preserve">Парковка  </t>
  </si>
  <si>
    <t>2.1</t>
  </si>
  <si>
    <t>Парковка открытая</t>
  </si>
  <si>
    <t>2.2</t>
  </si>
  <si>
    <t>Парковка крытая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</si>
</sst>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1" formatCode="_-* #,##0_р_._-;\-* #,##0_р_._-;_-* &quot;-&quot;_р_._-;_-@_-"/>
    <numFmt numFmtId="43" formatCode="_-* #,##0.00_р_._-;\-* #,##0.00_р_._-;_-* &quot;-&quot;??_р_._-;_-@_-"/>
    <numFmt numFmtId="164" formatCode="[$$-409]#,##0"/>
    <numFmt numFmtId="165" formatCode="_(* #,##0_);_(* \(#,##0\);_(* &quot;-&quot;_);_(@_)"/>
    <numFmt numFmtId="166" formatCode="#,###;\ \(#,###\)"/>
    <numFmt numFmtId="167" formatCode="#,##0.0"/>
    <numFmt numFmtId="168" formatCode="_-* #,##0_р_._-;\-* #,##0_р_._-;_-* &quot;-&quot;??_р_._-;_-@_-"/>
    <numFmt numFmtId="169" formatCode="[$-419]mmmm\ yyyy;@"/>
    <numFmt numFmtId="170" formatCode="0.0%"/>
    <numFmt numFmtId="171" formatCode="#,##0.000"/>
  </numFmts>
  <fonts count="33" x14ac:knownFonts="1">
    <font>
      <sz val="11"/>
      <color theme="1"/>
      <name val="Calibri"/>
      <family val="2"/>
      <charset val="204"/>
      <scheme val="minor"/>
    </font>
    <font>
      <b/>
      <sz val="10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9"/>
      <name val="Times New Roman"/>
      <family val="1"/>
      <charset val="204"/>
    </font>
    <font>
      <b/>
      <sz val="16"/>
      <color indexed="16"/>
      <name val="Times New Roman"/>
      <family val="1"/>
      <charset val="204"/>
    </font>
    <font>
      <sz val="10"/>
      <name val="Arial Cyr"/>
      <family val="2"/>
      <charset val="204"/>
    </font>
    <font>
      <sz val="10"/>
      <name val="Times New Roman"/>
      <family val="1"/>
      <charset val="204"/>
    </font>
    <font>
      <b/>
      <sz val="11"/>
      <color indexed="8"/>
      <name val="Calibri"/>
      <family val="2"/>
      <charset val="204"/>
    </font>
    <font>
      <u/>
      <sz val="10"/>
      <color indexed="12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1"/>
      <color indexed="10"/>
      <name val="Calibri"/>
      <family val="2"/>
      <charset val="204"/>
    </font>
    <font>
      <b/>
      <i/>
      <sz val="11"/>
      <color indexed="8"/>
      <name val="Calibri"/>
      <family val="2"/>
      <charset val="204"/>
    </font>
    <font>
      <b/>
      <sz val="9"/>
      <color indexed="8"/>
      <name val="Calibri"/>
      <family val="2"/>
      <charset val="204"/>
    </font>
    <font>
      <sz val="10"/>
      <name val="Helv"/>
      <charset val="204"/>
    </font>
    <font>
      <b/>
      <sz val="10"/>
      <color indexed="10"/>
      <name val="Times New Roman"/>
      <family val="1"/>
      <charset val="204"/>
    </font>
    <font>
      <i/>
      <sz val="11"/>
      <color indexed="8"/>
      <name val="Calibri"/>
      <family val="2"/>
      <charset val="204"/>
    </font>
    <font>
      <b/>
      <sz val="10"/>
      <color indexed="17"/>
      <name val="Times New Roman"/>
      <family val="1"/>
      <charset val="204"/>
    </font>
    <font>
      <i/>
      <sz val="10"/>
      <name val="Times New Roman"/>
      <family val="1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0"/>
      <color theme="0"/>
      <name val="Times New Roman"/>
      <family val="1"/>
      <charset val="204"/>
    </font>
    <font>
      <sz val="10"/>
      <color theme="0"/>
      <name val="Times New Roman"/>
      <family val="1"/>
      <charset val="204"/>
    </font>
    <font>
      <b/>
      <sz val="12"/>
      <color theme="0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10"/>
      <color rgb="FFFF0000"/>
      <name val="Times New Roman"/>
      <family val="1"/>
      <charset val="204"/>
    </font>
    <font>
      <sz val="12"/>
      <name val="Times New Roman"/>
      <family val="1"/>
      <charset val="204"/>
    </font>
    <font>
      <i/>
      <sz val="9"/>
      <name val="Times New Roman"/>
      <family val="1"/>
      <charset val="204"/>
    </font>
    <font>
      <sz val="9"/>
      <color theme="0"/>
      <name val="Times New Roman"/>
      <family val="1"/>
      <charset val="204"/>
    </font>
    <font>
      <sz val="9"/>
      <color rgb="FFFF0000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27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</borders>
  <cellStyleXfs count="9">
    <xf numFmtId="0" fontId="0" fillId="0" borderId="0"/>
    <xf numFmtId="0" fontId="21" fillId="5" borderId="0" applyNumberFormat="0" applyBorder="0" applyAlignment="0" applyProtection="0"/>
    <xf numFmtId="0" fontId="6" fillId="0" borderId="0"/>
    <xf numFmtId="0" fontId="21" fillId="0" borderId="0"/>
    <xf numFmtId="0" fontId="14" fillId="0" borderId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19" fillId="0" borderId="0" applyFont="0" applyFill="0" applyBorder="0" applyAlignment="0" applyProtection="0"/>
  </cellStyleXfs>
  <cellXfs count="337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4" fontId="2" fillId="0" borderId="0" xfId="0" applyNumberFormat="1" applyFont="1" applyFill="1" applyBorder="1" applyAlignment="1">
      <alignment horizontal="left"/>
    </xf>
    <xf numFmtId="164" fontId="3" fillId="0" borderId="0" xfId="3" applyNumberFormat="1" applyFont="1" applyFill="1" applyBorder="1" applyAlignment="1">
      <alignment horizontal="left"/>
    </xf>
    <xf numFmtId="164" fontId="5" fillId="0" borderId="0" xfId="0" applyNumberFormat="1" applyFont="1" applyFill="1" applyBorder="1" applyProtection="1"/>
    <xf numFmtId="4" fontId="4" fillId="0" borderId="0" xfId="0" applyNumberFormat="1" applyFont="1" applyFill="1" applyBorder="1" applyAlignment="1"/>
    <xf numFmtId="165" fontId="7" fillId="0" borderId="1" xfId="7" applyNumberFormat="1" applyFont="1" applyFill="1" applyBorder="1" applyAlignment="1">
      <alignment horizontal="right" vertical="center" indent="1"/>
    </xf>
    <xf numFmtId="9" fontId="7" fillId="0" borderId="1" xfId="7" applyNumberFormat="1" applyFont="1" applyFill="1" applyBorder="1" applyAlignment="1">
      <alignment horizontal="right" vertical="center" indent="1"/>
    </xf>
    <xf numFmtId="49" fontId="7" fillId="0" borderId="1" xfId="0" applyNumberFormat="1" applyFont="1" applyFill="1" applyBorder="1" applyAlignment="1">
      <alignment horizontal="left" vertical="center"/>
    </xf>
    <xf numFmtId="0" fontId="7" fillId="0" borderId="1" xfId="0" applyNumberFormat="1" applyFont="1" applyFill="1" applyBorder="1" applyAlignment="1">
      <alignment horizontal="left" vertical="center" wrapText="1"/>
    </xf>
    <xf numFmtId="166" fontId="7" fillId="0" borderId="1" xfId="0" applyNumberFormat="1" applyFont="1" applyFill="1" applyBorder="1" applyAlignment="1">
      <alignment horizontal="right" vertical="center"/>
    </xf>
    <xf numFmtId="0" fontId="8" fillId="0" borderId="0" xfId="0" applyFont="1"/>
    <xf numFmtId="0" fontId="9" fillId="0" borderId="0" xfId="0" applyFont="1" applyFill="1" applyAlignment="1" applyProtection="1">
      <alignment vertical="center"/>
    </xf>
    <xf numFmtId="165" fontId="7" fillId="2" borderId="1" xfId="6" applyNumberFormat="1" applyFont="1" applyFill="1" applyBorder="1" applyAlignment="1" applyProtection="1">
      <alignment horizontal="right" vertical="center" indent="1"/>
    </xf>
    <xf numFmtId="9" fontId="7" fillId="2" borderId="1" xfId="6" applyFont="1" applyFill="1" applyBorder="1" applyAlignment="1" applyProtection="1">
      <alignment horizontal="right" vertical="center" indent="1"/>
    </xf>
    <xf numFmtId="49" fontId="7" fillId="0" borderId="1" xfId="0" applyNumberFormat="1" applyFont="1" applyFill="1" applyBorder="1" applyAlignment="1" applyProtection="1">
      <alignment vertical="center" wrapText="1"/>
    </xf>
    <xf numFmtId="3" fontId="7" fillId="0" borderId="1" xfId="0" applyNumberFormat="1" applyFont="1" applyFill="1" applyBorder="1" applyAlignment="1" applyProtection="1">
      <alignment horizontal="left" vertical="center" wrapText="1"/>
    </xf>
    <xf numFmtId="3" fontId="1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/>
    <xf numFmtId="165" fontId="7" fillId="2" borderId="1" xfId="0" applyNumberFormat="1" applyFont="1" applyFill="1" applyBorder="1" applyAlignment="1" applyProtection="1">
      <alignment vertical="center"/>
    </xf>
    <xf numFmtId="0" fontId="0" fillId="0" borderId="0" xfId="0" applyProtection="1">
      <protection locked="0"/>
    </xf>
    <xf numFmtId="0" fontId="10" fillId="0" borderId="0" xfId="0" applyNumberFormat="1" applyFont="1" applyFill="1" applyProtection="1">
      <protection locked="0"/>
    </xf>
    <xf numFmtId="0" fontId="13" fillId="0" borderId="0" xfId="0" applyFont="1" applyProtection="1">
      <protection locked="0"/>
    </xf>
    <xf numFmtId="0" fontId="11" fillId="0" borderId="0" xfId="0" applyFont="1" applyProtection="1">
      <protection locked="0"/>
    </xf>
    <xf numFmtId="0" fontId="8" fillId="5" borderId="1" xfId="1" applyFont="1" applyBorder="1" applyProtection="1">
      <protection locked="0"/>
    </xf>
    <xf numFmtId="0" fontId="21" fillId="5" borderId="1" xfId="1" applyBorder="1" applyProtection="1">
      <protection locked="0"/>
    </xf>
    <xf numFmtId="0" fontId="12" fillId="5" borderId="1" xfId="1" applyFont="1" applyBorder="1" applyProtection="1">
      <protection locked="0"/>
    </xf>
    <xf numFmtId="0" fontId="9" fillId="2" borderId="1" xfId="0" applyFont="1" applyFill="1" applyBorder="1" applyAlignment="1" applyProtection="1">
      <alignment vertical="center"/>
      <protection locked="0"/>
    </xf>
    <xf numFmtId="169" fontId="1" fillId="3" borderId="3" xfId="4" applyNumberFormat="1" applyFont="1" applyFill="1" applyBorder="1" applyAlignment="1">
      <alignment horizontal="center" vertical="center" wrapText="1"/>
    </xf>
    <xf numFmtId="169" fontId="1" fillId="3" borderId="4" xfId="4" applyNumberFormat="1" applyFont="1" applyFill="1" applyBorder="1" applyAlignment="1">
      <alignment horizontal="center" vertical="center" wrapText="1"/>
    </xf>
    <xf numFmtId="169" fontId="1" fillId="3" borderId="5" xfId="4" applyNumberFormat="1" applyFont="1" applyFill="1" applyBorder="1" applyAlignment="1">
      <alignment horizontal="center" vertical="center" wrapText="1"/>
    </xf>
    <xf numFmtId="167" fontId="1" fillId="3" borderId="6" xfId="4" applyNumberFormat="1" applyFont="1" applyFill="1" applyBorder="1" applyAlignment="1">
      <alignment horizontal="center" vertical="center" wrapText="1"/>
    </xf>
    <xf numFmtId="167" fontId="1" fillId="3" borderId="4" xfId="4" applyNumberFormat="1" applyFont="1" applyFill="1" applyBorder="1" applyAlignment="1">
      <alignment horizontal="center" vertical="center" wrapText="1"/>
    </xf>
    <xf numFmtId="167" fontId="1" fillId="3" borderId="7" xfId="4" applyNumberFormat="1" applyFont="1" applyFill="1" applyBorder="1" applyAlignment="1">
      <alignment horizontal="center" vertical="center" wrapText="1"/>
    </xf>
    <xf numFmtId="168" fontId="1" fillId="3" borderId="1" xfId="4" applyNumberFormat="1" applyFont="1" applyFill="1" applyBorder="1" applyAlignment="1">
      <alignment horizontal="center" wrapText="1"/>
    </xf>
    <xf numFmtId="168" fontId="1" fillId="3" borderId="1" xfId="4" applyNumberFormat="1" applyFont="1" applyFill="1" applyBorder="1" applyAlignment="1">
      <alignment horizontal="center" vertical="center" wrapText="1"/>
    </xf>
    <xf numFmtId="3" fontId="1" fillId="3" borderId="1" xfId="4" applyNumberFormat="1" applyFont="1" applyFill="1" applyBorder="1" applyAlignment="1">
      <alignment horizontal="center" vertical="center" wrapText="1"/>
    </xf>
    <xf numFmtId="169" fontId="1" fillId="3" borderId="1" xfId="4" applyNumberFormat="1" applyFont="1" applyFill="1" applyBorder="1" applyAlignment="1">
      <alignment horizontal="center" vertical="center" wrapText="1"/>
    </xf>
    <xf numFmtId="169" fontId="1" fillId="3" borderId="7" xfId="4" applyNumberFormat="1" applyFont="1" applyFill="1" applyBorder="1" applyAlignment="1">
      <alignment horizontal="center" vertical="center" wrapText="1"/>
    </xf>
    <xf numFmtId="169" fontId="1" fillId="3" borderId="8" xfId="4" applyNumberFormat="1" applyFont="1" applyFill="1" applyBorder="1" applyAlignment="1">
      <alignment horizontal="center" vertical="center" wrapText="1"/>
    </xf>
    <xf numFmtId="3" fontId="1" fillId="3" borderId="3" xfId="4" applyNumberFormat="1" applyFont="1" applyFill="1" applyBorder="1" applyAlignment="1">
      <alignment horizontal="center" vertical="center" wrapText="1"/>
    </xf>
    <xf numFmtId="167" fontId="1" fillId="3" borderId="1" xfId="4" applyNumberFormat="1" applyFont="1" applyFill="1" applyBorder="1" applyAlignment="1">
      <alignment horizontal="center" vertical="center" wrapText="1"/>
    </xf>
    <xf numFmtId="167" fontId="1" fillId="3" borderId="3" xfId="4" applyNumberFormat="1" applyFont="1" applyFill="1" applyBorder="1" applyAlignment="1">
      <alignment horizontal="center" vertical="center" wrapText="1"/>
    </xf>
    <xf numFmtId="167" fontId="1" fillId="3" borderId="8" xfId="4" applyNumberFormat="1" applyFont="1" applyFill="1" applyBorder="1" applyAlignment="1">
      <alignment horizontal="center" vertical="center" wrapText="1"/>
    </xf>
    <xf numFmtId="0" fontId="16" fillId="0" borderId="0" xfId="0" applyFont="1"/>
    <xf numFmtId="168" fontId="17" fillId="3" borderId="1" xfId="4" applyNumberFormat="1" applyFont="1" applyFill="1" applyBorder="1" applyAlignment="1">
      <alignment horizontal="center" vertical="center" wrapText="1"/>
    </xf>
    <xf numFmtId="0" fontId="18" fillId="2" borderId="0" xfId="4" applyFont="1" applyFill="1" applyAlignment="1">
      <alignment vertical="center"/>
    </xf>
    <xf numFmtId="0" fontId="7" fillId="2" borderId="0" xfId="4" applyFont="1" applyFill="1" applyAlignment="1">
      <alignment vertical="center"/>
    </xf>
    <xf numFmtId="168" fontId="17" fillId="3" borderId="1" xfId="4" applyNumberFormat="1" applyFont="1" applyFill="1" applyBorder="1" applyAlignment="1">
      <alignment horizontal="center" wrapText="1"/>
    </xf>
    <xf numFmtId="3" fontId="17" fillId="3" borderId="1" xfId="4" applyNumberFormat="1" applyFont="1" applyFill="1" applyBorder="1" applyAlignment="1">
      <alignment horizontal="center" vertical="center" wrapText="1"/>
    </xf>
    <xf numFmtId="169" fontId="17" fillId="3" borderId="1" xfId="4" applyNumberFormat="1" applyFont="1" applyFill="1" applyBorder="1" applyAlignment="1">
      <alignment horizontal="center" vertical="center" wrapText="1"/>
    </xf>
    <xf numFmtId="169" fontId="17" fillId="3" borderId="7" xfId="4" applyNumberFormat="1" applyFont="1" applyFill="1" applyBorder="1" applyAlignment="1">
      <alignment horizontal="center" vertical="center" wrapText="1"/>
    </xf>
    <xf numFmtId="167" fontId="1" fillId="3" borderId="1" xfId="4" applyNumberFormat="1" applyFont="1" applyFill="1" applyBorder="1" applyAlignment="1">
      <alignment horizontal="center" vertical="center" wrapText="1"/>
    </xf>
    <xf numFmtId="0" fontId="12" fillId="5" borderId="1" xfId="1" applyFont="1" applyBorder="1" applyProtection="1"/>
    <xf numFmtId="0" fontId="8" fillId="5" borderId="1" xfId="1" applyFont="1" applyBorder="1" applyProtection="1"/>
    <xf numFmtId="49" fontId="7" fillId="0" borderId="9" xfId="2" applyNumberFormat="1" applyFont="1" applyFill="1" applyBorder="1" applyAlignment="1" applyProtection="1">
      <alignment horizontal="center" vertical="center"/>
    </xf>
    <xf numFmtId="49" fontId="7" fillId="0" borderId="7" xfId="4" applyNumberFormat="1" applyFont="1" applyFill="1" applyBorder="1" applyAlignment="1" applyProtection="1">
      <alignment horizontal="center" vertical="center"/>
    </xf>
    <xf numFmtId="167" fontId="7" fillId="0" borderId="1" xfId="4" applyNumberFormat="1" applyFont="1" applyFill="1" applyBorder="1" applyAlignment="1" applyProtection="1">
      <alignment horizontal="left" vertical="center" wrapText="1"/>
    </xf>
    <xf numFmtId="167" fontId="7" fillId="0" borderId="4" xfId="4" applyNumberFormat="1" applyFont="1" applyFill="1" applyBorder="1" applyAlignment="1" applyProtection="1">
      <alignment horizontal="left" vertical="center" wrapText="1"/>
    </xf>
    <xf numFmtId="167" fontId="7" fillId="0" borderId="8" xfId="4" applyNumberFormat="1" applyFont="1" applyFill="1" applyBorder="1" applyAlignment="1" applyProtection="1">
      <alignment horizontal="left" vertical="center" wrapText="1"/>
    </xf>
    <xf numFmtId="167" fontId="7" fillId="0" borderId="9" xfId="4" applyNumberFormat="1" applyFont="1" applyFill="1" applyBorder="1" applyAlignment="1" applyProtection="1">
      <alignment horizontal="left" vertical="center" wrapText="1"/>
    </xf>
    <xf numFmtId="3" fontId="7" fillId="0" borderId="9" xfId="8" applyNumberFormat="1" applyFont="1" applyFill="1" applyBorder="1" applyAlignment="1" applyProtection="1">
      <alignment horizontal="center" vertical="center" wrapText="1"/>
    </xf>
    <xf numFmtId="3" fontId="7" fillId="0" borderId="1" xfId="8" applyNumberFormat="1" applyFont="1" applyFill="1" applyBorder="1" applyAlignment="1" applyProtection="1">
      <alignment horizontal="center" vertical="center" wrapText="1"/>
    </xf>
    <xf numFmtId="3" fontId="7" fillId="0" borderId="7" xfId="8" applyNumberFormat="1" applyFont="1" applyFill="1" applyBorder="1" applyAlignment="1" applyProtection="1">
      <alignment horizontal="center" vertical="center" wrapText="1"/>
    </xf>
    <xf numFmtId="167" fontId="7" fillId="0" borderId="3" xfId="4" applyNumberFormat="1" applyFont="1" applyFill="1" applyBorder="1" applyAlignment="1" applyProtection="1">
      <alignment horizontal="left" vertical="center" wrapText="1"/>
    </xf>
    <xf numFmtId="3" fontId="7" fillId="0" borderId="8" xfId="8" applyNumberFormat="1" applyFont="1" applyFill="1" applyBorder="1" applyAlignment="1" applyProtection="1">
      <alignment horizontal="center" vertical="center" wrapText="1"/>
    </xf>
    <xf numFmtId="3" fontId="7" fillId="0" borderId="5" xfId="8" applyNumberFormat="1" applyFont="1" applyFill="1" applyBorder="1" applyAlignment="1" applyProtection="1">
      <alignment horizontal="center" vertical="center" wrapText="1"/>
    </xf>
    <xf numFmtId="167" fontId="7" fillId="0" borderId="1" xfId="8" applyNumberFormat="1" applyFont="1" applyFill="1" applyBorder="1" applyAlignment="1" applyProtection="1">
      <alignment horizontal="center" vertical="center" wrapText="1"/>
    </xf>
    <xf numFmtId="170" fontId="7" fillId="0" borderId="3" xfId="5" applyNumberFormat="1" applyFont="1" applyFill="1" applyBorder="1" applyAlignment="1" applyProtection="1">
      <alignment horizontal="center" vertical="center" wrapText="1"/>
    </xf>
    <xf numFmtId="3" fontId="7" fillId="0" borderId="4" xfId="8" applyNumberFormat="1" applyFont="1" applyFill="1" applyBorder="1" applyAlignment="1" applyProtection="1">
      <alignment horizontal="center" vertical="center" wrapText="1"/>
    </xf>
    <xf numFmtId="10" fontId="7" fillId="0" borderId="1" xfId="8" applyNumberFormat="1" applyFont="1" applyFill="1" applyBorder="1" applyAlignment="1" applyProtection="1">
      <alignment horizontal="center" vertical="center" wrapText="1"/>
    </xf>
    <xf numFmtId="10" fontId="6" fillId="0" borderId="1" xfId="5" applyNumberFormat="1" applyFont="1" applyFill="1" applyBorder="1" applyAlignment="1" applyProtection="1">
      <alignment horizontal="center" vertical="center" wrapText="1"/>
    </xf>
    <xf numFmtId="10" fontId="6" fillId="0" borderId="3" xfId="5" applyNumberFormat="1" applyFont="1" applyFill="1" applyBorder="1" applyAlignment="1" applyProtection="1">
      <alignment horizontal="center" vertical="center" wrapText="1"/>
    </xf>
    <xf numFmtId="3" fontId="7" fillId="0" borderId="3" xfId="8" applyNumberFormat="1" applyFont="1" applyFill="1" applyBorder="1" applyAlignment="1" applyProtection="1">
      <alignment horizontal="center" vertical="center" wrapText="1"/>
    </xf>
    <xf numFmtId="10" fontId="6" fillId="0" borderId="8" xfId="5" applyNumberFormat="1" applyFont="1" applyFill="1" applyBorder="1" applyAlignment="1" applyProtection="1">
      <alignment horizontal="center" vertical="center" wrapText="1"/>
    </xf>
    <xf numFmtId="0" fontId="0" fillId="0" borderId="0" xfId="0" applyFont="1" applyProtection="1"/>
    <xf numFmtId="0" fontId="21" fillId="5" borderId="1" xfId="1" applyBorder="1" applyProtection="1"/>
    <xf numFmtId="0" fontId="9" fillId="2" borderId="1" xfId="0" applyFont="1" applyFill="1" applyBorder="1" applyAlignment="1" applyProtection="1">
      <alignment vertical="center"/>
    </xf>
    <xf numFmtId="49" fontId="1" fillId="0" borderId="36" xfId="2" applyNumberFormat="1" applyFont="1" applyFill="1" applyBorder="1" applyAlignment="1">
      <alignment horizontal="center" vertical="center"/>
    </xf>
    <xf numFmtId="49" fontId="1" fillId="0" borderId="11" xfId="8" applyNumberFormat="1" applyFont="1" applyFill="1" applyBorder="1" applyAlignment="1">
      <alignment horizontal="center" vertical="center"/>
    </xf>
    <xf numFmtId="167" fontId="1" fillId="0" borderId="16" xfId="4" applyNumberFormat="1" applyFont="1" applyFill="1" applyBorder="1" applyAlignment="1">
      <alignment horizontal="left" vertical="center" wrapText="1"/>
    </xf>
    <xf numFmtId="167" fontId="1" fillId="0" borderId="15" xfId="4" applyNumberFormat="1" applyFont="1" applyFill="1" applyBorder="1" applyAlignment="1">
      <alignment horizontal="left" vertical="center" wrapText="1"/>
    </xf>
    <xf numFmtId="167" fontId="1" fillId="0" borderId="1" xfId="4" applyNumberFormat="1" applyFont="1" applyFill="1" applyBorder="1" applyAlignment="1">
      <alignment horizontal="left" vertical="center" wrapText="1"/>
    </xf>
    <xf numFmtId="167" fontId="1" fillId="0" borderId="8" xfId="4" applyNumberFormat="1" applyFont="1" applyFill="1" applyBorder="1" applyAlignment="1">
      <alignment horizontal="left" vertical="center" wrapText="1"/>
    </xf>
    <xf numFmtId="167" fontId="1" fillId="0" borderId="9" xfId="4" applyNumberFormat="1" applyFont="1" applyFill="1" applyBorder="1" applyAlignment="1">
      <alignment horizontal="left" vertical="center" wrapText="1"/>
    </xf>
    <xf numFmtId="3" fontId="1" fillId="0" borderId="36" xfId="8" applyNumberFormat="1" applyFont="1" applyFill="1" applyBorder="1" applyAlignment="1">
      <alignment horizontal="center" vertical="center" wrapText="1"/>
    </xf>
    <xf numFmtId="3" fontId="1" fillId="0" borderId="16" xfId="8" applyNumberFormat="1" applyFont="1" applyFill="1" applyBorder="1" applyAlignment="1">
      <alignment vertical="center" wrapText="1"/>
    </xf>
    <xf numFmtId="3" fontId="1" fillId="0" borderId="16" xfId="8" applyNumberFormat="1" applyFont="1" applyFill="1" applyBorder="1" applyAlignment="1">
      <alignment horizontal="center" vertical="center" wrapText="1"/>
    </xf>
    <xf numFmtId="168" fontId="1" fillId="0" borderId="11" xfId="8" applyNumberFormat="1" applyFont="1" applyFill="1" applyBorder="1" applyAlignment="1">
      <alignment horizontal="center" vertical="center" wrapText="1"/>
    </xf>
    <xf numFmtId="168" fontId="1" fillId="0" borderId="16" xfId="8" applyNumberFormat="1" applyFont="1" applyFill="1" applyBorder="1" applyAlignment="1">
      <alignment horizontal="center" vertical="center" wrapText="1"/>
    </xf>
    <xf numFmtId="167" fontId="1" fillId="0" borderId="3" xfId="4" applyNumberFormat="1" applyFont="1" applyFill="1" applyBorder="1" applyAlignment="1">
      <alignment horizontal="left" vertical="center" wrapText="1"/>
    </xf>
    <xf numFmtId="168" fontId="1" fillId="0" borderId="37" xfId="8" applyNumberFormat="1" applyFont="1" applyFill="1" applyBorder="1" applyAlignment="1">
      <alignment horizontal="center" vertical="center" wrapText="1"/>
    </xf>
    <xf numFmtId="3" fontId="1" fillId="0" borderId="37" xfId="8" applyNumberFormat="1" applyFont="1" applyFill="1" applyBorder="1" applyAlignment="1">
      <alignment horizontal="center" vertical="center" wrapText="1"/>
    </xf>
    <xf numFmtId="167" fontId="1" fillId="0" borderId="16" xfId="8" applyNumberFormat="1" applyFont="1" applyFill="1" applyBorder="1" applyAlignment="1">
      <alignment horizontal="center" vertical="center" wrapText="1"/>
    </xf>
    <xf numFmtId="170" fontId="1" fillId="0" borderId="13" xfId="5" applyNumberFormat="1" applyFont="1" applyFill="1" applyBorder="1" applyAlignment="1">
      <alignment horizontal="center" vertical="center" wrapText="1"/>
    </xf>
    <xf numFmtId="3" fontId="1" fillId="0" borderId="15" xfId="8" applyNumberFormat="1" applyFont="1" applyFill="1" applyBorder="1" applyAlignment="1">
      <alignment horizontal="center" vertical="center" wrapText="1"/>
    </xf>
    <xf numFmtId="3" fontId="1" fillId="0" borderId="1" xfId="8" applyNumberFormat="1" applyFont="1" applyFill="1" applyBorder="1" applyAlignment="1">
      <alignment horizontal="center" vertical="center" wrapText="1"/>
    </xf>
    <xf numFmtId="10" fontId="22" fillId="0" borderId="1" xfId="8" applyNumberFormat="1" applyFont="1" applyFill="1" applyBorder="1" applyAlignment="1">
      <alignment horizontal="center" vertical="center" wrapText="1"/>
    </xf>
    <xf numFmtId="10" fontId="6" fillId="0" borderId="1" xfId="5" applyNumberFormat="1" applyFill="1" applyBorder="1" applyAlignment="1">
      <alignment horizontal="center" vertical="center" wrapText="1"/>
    </xf>
    <xf numFmtId="10" fontId="6" fillId="0" borderId="13" xfId="5" applyNumberFormat="1" applyFill="1" applyBorder="1" applyAlignment="1">
      <alignment horizontal="center" vertical="center" wrapText="1"/>
    </xf>
    <xf numFmtId="3" fontId="1" fillId="0" borderId="13" xfId="8" applyNumberFormat="1" applyFont="1" applyFill="1" applyBorder="1" applyAlignment="1">
      <alignment horizontal="center" vertical="center" wrapText="1"/>
    </xf>
    <xf numFmtId="10" fontId="6" fillId="0" borderId="8" xfId="5" applyNumberFormat="1" applyFill="1" applyBorder="1" applyAlignment="1">
      <alignment horizontal="center" vertical="center" wrapText="1"/>
    </xf>
    <xf numFmtId="171" fontId="23" fillId="6" borderId="0" xfId="4" applyNumberFormat="1" applyFont="1" applyFill="1" applyBorder="1" applyAlignment="1">
      <alignment horizontal="center" vertical="center"/>
    </xf>
    <xf numFmtId="0" fontId="24" fillId="6" borderId="0" xfId="4" applyFont="1" applyFill="1" applyBorder="1" applyAlignment="1">
      <alignment horizontal="center" vertical="center"/>
    </xf>
    <xf numFmtId="170" fontId="25" fillId="6" borderId="0" xfId="4" applyNumberFormat="1" applyFont="1" applyFill="1" applyBorder="1" applyAlignment="1">
      <alignment vertical="center"/>
    </xf>
    <xf numFmtId="9" fontId="24" fillId="0" borderId="0" xfId="5" applyFont="1" applyFill="1" applyBorder="1" applyAlignment="1">
      <alignment horizontal="center" vertical="center" wrapText="1"/>
    </xf>
    <xf numFmtId="3" fontId="24" fillId="0" borderId="0" xfId="8" applyNumberFormat="1" applyFont="1" applyFill="1" applyBorder="1" applyAlignment="1">
      <alignment horizontal="center" vertical="center" wrapText="1"/>
    </xf>
    <xf numFmtId="4" fontId="23" fillId="6" borderId="0" xfId="4" applyNumberFormat="1" applyFont="1" applyFill="1" applyBorder="1" applyAlignment="1">
      <alignment horizontal="center" vertical="center"/>
    </xf>
    <xf numFmtId="10" fontId="23" fillId="6" borderId="0" xfId="4" applyNumberFormat="1" applyFont="1" applyFill="1" applyBorder="1" applyAlignment="1">
      <alignment horizontal="center" vertical="center"/>
    </xf>
    <xf numFmtId="9" fontId="23" fillId="0" borderId="0" xfId="5" applyFont="1" applyFill="1" applyBorder="1" applyAlignment="1">
      <alignment horizontal="center" vertical="center" wrapText="1"/>
    </xf>
    <xf numFmtId="0" fontId="25" fillId="6" borderId="0" xfId="4" applyFont="1" applyFill="1" applyAlignment="1">
      <alignment vertical="center"/>
    </xf>
    <xf numFmtId="0" fontId="26" fillId="6" borderId="0" xfId="4" applyFont="1" applyFill="1" applyAlignment="1">
      <alignment vertical="center"/>
    </xf>
    <xf numFmtId="0" fontId="3" fillId="6" borderId="0" xfId="4" applyFont="1" applyFill="1" applyAlignment="1">
      <alignment vertical="center"/>
    </xf>
    <xf numFmtId="49" fontId="7" fillId="0" borderId="9" xfId="2" applyNumberFormat="1" applyFont="1" applyFill="1" applyBorder="1" applyAlignment="1">
      <alignment horizontal="center" vertical="center" wrapText="1"/>
    </xf>
    <xf numFmtId="49" fontId="7" fillId="0" borderId="7" xfId="8" applyNumberFormat="1" applyFont="1" applyFill="1" applyBorder="1" applyAlignment="1">
      <alignment horizontal="center" vertical="center" wrapText="1"/>
    </xf>
    <xf numFmtId="168" fontId="7" fillId="0" borderId="1" xfId="8" applyNumberFormat="1" applyFont="1" applyFill="1" applyBorder="1" applyAlignment="1">
      <alignment horizontal="left" vertical="center" wrapText="1"/>
    </xf>
    <xf numFmtId="168" fontId="18" fillId="0" borderId="4" xfId="8" applyNumberFormat="1" applyFont="1" applyFill="1" applyBorder="1" applyAlignment="1">
      <alignment horizontal="left" vertical="center" wrapText="1"/>
    </xf>
    <xf numFmtId="168" fontId="18" fillId="0" borderId="1" xfId="8" applyNumberFormat="1" applyFont="1" applyFill="1" applyBorder="1" applyAlignment="1">
      <alignment horizontal="left" vertical="center" wrapText="1"/>
    </xf>
    <xf numFmtId="168" fontId="18" fillId="0" borderId="8" xfId="8" applyNumberFormat="1" applyFont="1" applyFill="1" applyBorder="1" applyAlignment="1">
      <alignment horizontal="left" vertical="center" wrapText="1"/>
    </xf>
    <xf numFmtId="168" fontId="18" fillId="0" borderId="9" xfId="8" applyNumberFormat="1" applyFont="1" applyFill="1" applyBorder="1" applyAlignment="1">
      <alignment horizontal="left" vertical="center" wrapText="1"/>
    </xf>
    <xf numFmtId="3" fontId="7" fillId="0" borderId="9" xfId="8" applyNumberFormat="1" applyFont="1" applyFill="1" applyBorder="1" applyAlignment="1">
      <alignment horizontal="center" vertical="center" wrapText="1"/>
    </xf>
    <xf numFmtId="3" fontId="7" fillId="0" borderId="1" xfId="8" applyNumberFormat="1" applyFont="1" applyFill="1" applyBorder="1" applyAlignment="1">
      <alignment horizontal="center" vertical="center" wrapText="1"/>
    </xf>
    <xf numFmtId="3" fontId="27" fillId="0" borderId="1" xfId="8" applyNumberFormat="1" applyFont="1" applyFill="1" applyBorder="1" applyAlignment="1">
      <alignment horizontal="center" vertical="center" wrapText="1"/>
    </xf>
    <xf numFmtId="168" fontId="7" fillId="0" borderId="7" xfId="8" applyNumberFormat="1" applyFont="1" applyFill="1" applyBorder="1" applyAlignment="1">
      <alignment horizontal="center" vertical="center" wrapText="1"/>
    </xf>
    <xf numFmtId="168" fontId="7" fillId="0" borderId="1" xfId="8" applyNumberFormat="1" applyFont="1" applyFill="1" applyBorder="1" applyAlignment="1">
      <alignment horizontal="center" vertical="center" wrapText="1"/>
    </xf>
    <xf numFmtId="168" fontId="18" fillId="0" borderId="3" xfId="8" applyNumberFormat="1" applyFont="1" applyFill="1" applyBorder="1" applyAlignment="1">
      <alignment horizontal="left" vertical="center" wrapText="1"/>
    </xf>
    <xf numFmtId="168" fontId="7" fillId="0" borderId="8" xfId="8" applyNumberFormat="1" applyFont="1" applyFill="1" applyBorder="1" applyAlignment="1">
      <alignment horizontal="center" vertical="center" wrapText="1"/>
    </xf>
    <xf numFmtId="3" fontId="7" fillId="0" borderId="8" xfId="8" applyNumberFormat="1" applyFont="1" applyFill="1" applyBorder="1" applyAlignment="1">
      <alignment horizontal="center" vertical="center" wrapText="1"/>
    </xf>
    <xf numFmtId="167" fontId="7" fillId="0" borderId="1" xfId="8" applyNumberFormat="1" applyFont="1" applyFill="1" applyBorder="1" applyAlignment="1">
      <alignment horizontal="center" vertical="center" wrapText="1"/>
    </xf>
    <xf numFmtId="170" fontId="7" fillId="0" borderId="3" xfId="5" applyNumberFormat="1" applyFont="1" applyFill="1" applyBorder="1" applyAlignment="1">
      <alignment horizontal="center" vertical="center" wrapText="1"/>
    </xf>
    <xf numFmtId="3" fontId="7" fillId="0" borderId="4" xfId="8" applyNumberFormat="1" applyFont="1" applyFill="1" applyBorder="1" applyAlignment="1">
      <alignment horizontal="center" vertical="center" wrapText="1"/>
    </xf>
    <xf numFmtId="10" fontId="6" fillId="0" borderId="2" xfId="5" applyNumberFormat="1" applyFill="1" applyBorder="1" applyAlignment="1">
      <alignment horizontal="center" vertical="center"/>
    </xf>
    <xf numFmtId="10" fontId="6" fillId="0" borderId="14" xfId="5" applyNumberFormat="1" applyFill="1" applyBorder="1" applyAlignment="1">
      <alignment horizontal="center" vertical="center"/>
    </xf>
    <xf numFmtId="3" fontId="7" fillId="0" borderId="3" xfId="8" applyNumberFormat="1" applyFont="1" applyFill="1" applyBorder="1" applyAlignment="1">
      <alignment horizontal="center" vertical="center" wrapText="1"/>
    </xf>
    <xf numFmtId="3" fontId="1" fillId="0" borderId="14" xfId="8" applyNumberFormat="1" applyFont="1" applyFill="1" applyBorder="1" applyAlignment="1">
      <alignment horizontal="center" vertical="center"/>
    </xf>
    <xf numFmtId="10" fontId="6" fillId="0" borderId="8" xfId="5" applyNumberFormat="1" applyFill="1" applyBorder="1" applyAlignment="1">
      <alignment horizontal="center" vertical="center"/>
    </xf>
    <xf numFmtId="3" fontId="7" fillId="0" borderId="15" xfId="8" applyNumberFormat="1" applyFont="1" applyFill="1" applyBorder="1" applyAlignment="1">
      <alignment horizontal="center" vertical="center" wrapText="1"/>
    </xf>
    <xf numFmtId="10" fontId="28" fillId="0" borderId="1" xfId="8" applyNumberFormat="1" applyFont="1" applyFill="1" applyBorder="1" applyAlignment="1">
      <alignment horizontal="center" vertical="center" wrapText="1"/>
    </xf>
    <xf numFmtId="10" fontId="6" fillId="0" borderId="3" xfId="5" applyNumberFormat="1" applyFill="1" applyBorder="1" applyAlignment="1">
      <alignment horizontal="center" vertical="center" wrapText="1"/>
    </xf>
    <xf numFmtId="0" fontId="24" fillId="6" borderId="0" xfId="4" applyFont="1" applyFill="1" applyAlignment="1">
      <alignment vertical="center"/>
    </xf>
    <xf numFmtId="0" fontId="28" fillId="6" borderId="0" xfId="4" applyFont="1" applyFill="1" applyAlignment="1">
      <alignment vertical="center"/>
    </xf>
    <xf numFmtId="0" fontId="7" fillId="6" borderId="0" xfId="4" applyFont="1" applyFill="1" applyAlignment="1">
      <alignment vertical="center"/>
    </xf>
    <xf numFmtId="168" fontId="18" fillId="0" borderId="15" xfId="8" applyNumberFormat="1" applyFont="1" applyFill="1" applyBorder="1" applyAlignment="1">
      <alignment horizontal="left" vertical="center" wrapText="1"/>
    </xf>
    <xf numFmtId="3" fontId="7" fillId="0" borderId="36" xfId="8" applyNumberFormat="1" applyFont="1" applyFill="1" applyBorder="1" applyAlignment="1">
      <alignment horizontal="center" vertical="center" wrapText="1"/>
    </xf>
    <xf numFmtId="3" fontId="7" fillId="0" borderId="16" xfId="8" applyNumberFormat="1" applyFont="1" applyFill="1" applyBorder="1" applyAlignment="1">
      <alignment horizontal="center" vertical="center" wrapText="1"/>
    </xf>
    <xf numFmtId="168" fontId="7" fillId="0" borderId="11" xfId="8" applyNumberFormat="1" applyFont="1" applyFill="1" applyBorder="1" applyAlignment="1">
      <alignment horizontal="center" vertical="center" wrapText="1"/>
    </xf>
    <xf numFmtId="168" fontId="7" fillId="0" borderId="16" xfId="8" applyNumberFormat="1" applyFont="1" applyFill="1" applyBorder="1" applyAlignment="1">
      <alignment horizontal="center" vertical="center" wrapText="1"/>
    </xf>
    <xf numFmtId="168" fontId="7" fillId="0" borderId="37" xfId="8" applyNumberFormat="1" applyFont="1" applyFill="1" applyBorder="1" applyAlignment="1">
      <alignment horizontal="center" vertical="center" wrapText="1"/>
    </xf>
    <xf numFmtId="3" fontId="7" fillId="0" borderId="37" xfId="8" applyNumberFormat="1" applyFont="1" applyFill="1" applyBorder="1" applyAlignment="1">
      <alignment horizontal="center" vertical="center" wrapText="1"/>
    </xf>
    <xf numFmtId="167" fontId="7" fillId="0" borderId="16" xfId="8" applyNumberFormat="1" applyFont="1" applyFill="1" applyBorder="1" applyAlignment="1">
      <alignment horizontal="center" vertical="center" wrapText="1"/>
    </xf>
    <xf numFmtId="170" fontId="7" fillId="0" borderId="13" xfId="5" applyNumberFormat="1" applyFont="1" applyFill="1" applyBorder="1" applyAlignment="1">
      <alignment horizontal="center" vertical="center" wrapText="1"/>
    </xf>
    <xf numFmtId="49" fontId="7" fillId="0" borderId="11" xfId="8" applyNumberFormat="1" applyFont="1" applyFill="1" applyBorder="1" applyAlignment="1">
      <alignment horizontal="center" vertical="center" wrapText="1"/>
    </xf>
    <xf numFmtId="49" fontId="7" fillId="0" borderId="38" xfId="2" applyNumberFormat="1" applyFont="1" applyFill="1" applyBorder="1" applyAlignment="1">
      <alignment horizontal="center" vertical="center" wrapText="1"/>
    </xf>
    <xf numFmtId="49" fontId="7" fillId="0" borderId="39" xfId="8" applyNumberFormat="1" applyFont="1" applyFill="1" applyBorder="1" applyAlignment="1">
      <alignment horizontal="center" vertical="center" wrapText="1"/>
    </xf>
    <xf numFmtId="168" fontId="7" fillId="0" borderId="40" xfId="8" applyNumberFormat="1" applyFont="1" applyFill="1" applyBorder="1" applyAlignment="1">
      <alignment horizontal="left" vertical="center" wrapText="1"/>
    </xf>
    <xf numFmtId="168" fontId="18" fillId="0" borderId="41" xfId="8" applyNumberFormat="1" applyFont="1" applyFill="1" applyBorder="1" applyAlignment="1">
      <alignment horizontal="left" vertical="center" wrapText="1"/>
    </xf>
    <xf numFmtId="168" fontId="18" fillId="0" borderId="40" xfId="8" applyNumberFormat="1" applyFont="1" applyFill="1" applyBorder="1" applyAlignment="1">
      <alignment horizontal="left" vertical="center" wrapText="1"/>
    </xf>
    <xf numFmtId="168" fontId="18" fillId="0" borderId="42" xfId="8" applyNumberFormat="1" applyFont="1" applyFill="1" applyBorder="1" applyAlignment="1">
      <alignment horizontal="left" vertical="center" wrapText="1"/>
    </xf>
    <xf numFmtId="168" fontId="18" fillId="0" borderId="38" xfId="8" applyNumberFormat="1" applyFont="1" applyFill="1" applyBorder="1" applyAlignment="1">
      <alignment horizontal="left" vertical="center" wrapText="1"/>
    </xf>
    <xf numFmtId="3" fontId="7" fillId="0" borderId="38" xfId="8" applyNumberFormat="1" applyFont="1" applyFill="1" applyBorder="1" applyAlignment="1">
      <alignment horizontal="center" vertical="center" wrapText="1"/>
    </xf>
    <xf numFmtId="3" fontId="7" fillId="0" borderId="40" xfId="8" applyNumberFormat="1" applyFont="1" applyFill="1" applyBorder="1" applyAlignment="1">
      <alignment horizontal="center" vertical="center" wrapText="1"/>
    </xf>
    <xf numFmtId="168" fontId="7" fillId="0" borderId="39" xfId="8" applyNumberFormat="1" applyFont="1" applyFill="1" applyBorder="1" applyAlignment="1">
      <alignment horizontal="center" vertical="center" wrapText="1"/>
    </xf>
    <xf numFmtId="168" fontId="7" fillId="0" borderId="40" xfId="8" applyNumberFormat="1" applyFont="1" applyFill="1" applyBorder="1" applyAlignment="1">
      <alignment horizontal="center" vertical="center" wrapText="1"/>
    </xf>
    <xf numFmtId="168" fontId="18" fillId="0" borderId="43" xfId="8" applyNumberFormat="1" applyFont="1" applyFill="1" applyBorder="1" applyAlignment="1">
      <alignment horizontal="left" vertical="center" wrapText="1"/>
    </xf>
    <xf numFmtId="168" fontId="7" fillId="0" borderId="42" xfId="8" applyNumberFormat="1" applyFont="1" applyFill="1" applyBorder="1" applyAlignment="1">
      <alignment horizontal="center" vertical="center" wrapText="1"/>
    </xf>
    <xf numFmtId="3" fontId="7" fillId="0" borderId="42" xfId="8" applyNumberFormat="1" applyFont="1" applyFill="1" applyBorder="1" applyAlignment="1">
      <alignment horizontal="center" vertical="center" wrapText="1"/>
    </xf>
    <xf numFmtId="170" fontId="7" fillId="0" borderId="43" xfId="5" applyNumberFormat="1" applyFont="1" applyFill="1" applyBorder="1" applyAlignment="1">
      <alignment horizontal="center" vertical="center" wrapText="1"/>
    </xf>
    <xf numFmtId="3" fontId="7" fillId="0" borderId="41" xfId="8" applyNumberFormat="1" applyFont="1" applyFill="1" applyBorder="1" applyAlignment="1">
      <alignment horizontal="center" vertical="center" wrapText="1"/>
    </xf>
    <xf numFmtId="3" fontId="7" fillId="0" borderId="39" xfId="8" applyNumberFormat="1" applyFont="1" applyFill="1" applyBorder="1" applyAlignment="1">
      <alignment horizontal="center" vertical="center" wrapText="1"/>
    </xf>
    <xf numFmtId="10" fontId="28" fillId="0" borderId="43" xfId="8" applyNumberFormat="1" applyFont="1" applyFill="1" applyBorder="1" applyAlignment="1">
      <alignment horizontal="center" vertical="center" wrapText="1"/>
    </xf>
    <xf numFmtId="3" fontId="7" fillId="0" borderId="43" xfId="8" applyNumberFormat="1" applyFont="1" applyFill="1" applyBorder="1" applyAlignment="1">
      <alignment horizontal="center" vertical="center" wrapText="1"/>
    </xf>
    <xf numFmtId="10" fontId="6" fillId="0" borderId="43" xfId="5" applyNumberFormat="1" applyFill="1" applyBorder="1" applyAlignment="1">
      <alignment horizontal="center" vertical="center" wrapText="1"/>
    </xf>
    <xf numFmtId="10" fontId="6" fillId="0" borderId="42" xfId="5" applyNumberFormat="1" applyFill="1" applyBorder="1" applyAlignment="1">
      <alignment horizontal="center" vertical="center" wrapText="1"/>
    </xf>
    <xf numFmtId="0" fontId="29" fillId="6" borderId="0" xfId="4" applyFont="1" applyFill="1" applyAlignment="1">
      <alignment vertical="center"/>
    </xf>
    <xf numFmtId="49" fontId="1" fillId="0" borderId="9" xfId="2" applyNumberFormat="1" applyFont="1" applyFill="1" applyBorder="1" applyAlignment="1">
      <alignment horizontal="center" vertical="center"/>
    </xf>
    <xf numFmtId="49" fontId="1" fillId="0" borderId="7" xfId="4" applyNumberFormat="1" applyFont="1" applyFill="1" applyBorder="1" applyAlignment="1">
      <alignment horizontal="center" vertical="center"/>
    </xf>
    <xf numFmtId="49" fontId="1" fillId="0" borderId="1" xfId="4" applyNumberFormat="1" applyFont="1" applyFill="1" applyBorder="1" applyAlignment="1">
      <alignment horizontal="left" vertical="center" wrapText="1"/>
    </xf>
    <xf numFmtId="49" fontId="1" fillId="0" borderId="4" xfId="4" applyNumberFormat="1" applyFont="1" applyFill="1" applyBorder="1" applyAlignment="1">
      <alignment horizontal="left" vertical="center" wrapText="1"/>
    </xf>
    <xf numFmtId="49" fontId="1" fillId="0" borderId="8" xfId="4" applyNumberFormat="1" applyFont="1" applyFill="1" applyBorder="1" applyAlignment="1">
      <alignment horizontal="left" vertical="center" wrapText="1"/>
    </xf>
    <xf numFmtId="49" fontId="1" fillId="0" borderId="9" xfId="4" applyNumberFormat="1" applyFont="1" applyFill="1" applyBorder="1" applyAlignment="1">
      <alignment horizontal="left" vertical="center" wrapText="1"/>
    </xf>
    <xf numFmtId="3" fontId="1" fillId="0" borderId="9" xfId="8" applyNumberFormat="1" applyFont="1" applyFill="1" applyBorder="1" applyAlignment="1">
      <alignment horizontal="center" vertical="center" wrapText="1"/>
    </xf>
    <xf numFmtId="168" fontId="1" fillId="0" borderId="7" xfId="8" applyNumberFormat="1" applyFont="1" applyFill="1" applyBorder="1" applyAlignment="1">
      <alignment horizontal="center" vertical="center" wrapText="1"/>
    </xf>
    <xf numFmtId="168" fontId="1" fillId="0" borderId="1" xfId="8" applyNumberFormat="1" applyFont="1" applyFill="1" applyBorder="1" applyAlignment="1">
      <alignment horizontal="center" vertical="center" wrapText="1"/>
    </xf>
    <xf numFmtId="49" fontId="1" fillId="0" borderId="3" xfId="4" applyNumberFormat="1" applyFont="1" applyFill="1" applyBorder="1" applyAlignment="1">
      <alignment horizontal="left" vertical="center" wrapText="1"/>
    </xf>
    <xf numFmtId="168" fontId="1" fillId="0" borderId="8" xfId="8" applyNumberFormat="1" applyFont="1" applyFill="1" applyBorder="1" applyAlignment="1">
      <alignment horizontal="center" vertical="center" wrapText="1"/>
    </xf>
    <xf numFmtId="3" fontId="1" fillId="0" borderId="8" xfId="8" applyNumberFormat="1" applyFont="1" applyFill="1" applyBorder="1" applyAlignment="1">
      <alignment horizontal="center" vertical="center" wrapText="1"/>
    </xf>
    <xf numFmtId="167" fontId="1" fillId="0" borderId="1" xfId="8" applyNumberFormat="1" applyFont="1" applyFill="1" applyBorder="1" applyAlignment="1">
      <alignment horizontal="center" vertical="center" wrapText="1"/>
    </xf>
    <xf numFmtId="170" fontId="1" fillId="0" borderId="3" xfId="5" applyNumberFormat="1" applyFont="1" applyFill="1" applyBorder="1" applyAlignment="1">
      <alignment horizontal="center" vertical="center" wrapText="1"/>
    </xf>
    <xf numFmtId="3" fontId="1" fillId="0" borderId="4" xfId="8" applyNumberFormat="1" applyFont="1" applyFill="1" applyBorder="1" applyAlignment="1">
      <alignment horizontal="center" vertical="center" wrapText="1"/>
    </xf>
    <xf numFmtId="3" fontId="1" fillId="0" borderId="3" xfId="8" applyNumberFormat="1" applyFont="1" applyFill="1" applyBorder="1" applyAlignment="1">
      <alignment horizontal="center" vertical="center" wrapText="1"/>
    </xf>
    <xf numFmtId="49" fontId="27" fillId="0" borderId="7" xfId="4" applyNumberFormat="1" applyFont="1" applyFill="1" applyBorder="1" applyAlignment="1">
      <alignment horizontal="center" vertical="center"/>
    </xf>
    <xf numFmtId="49" fontId="30" fillId="0" borderId="15" xfId="4" applyNumberFormat="1" applyFont="1" applyFill="1" applyBorder="1" applyAlignment="1">
      <alignment horizontal="left" vertical="center" wrapText="1"/>
    </xf>
    <xf numFmtId="49" fontId="30" fillId="0" borderId="1" xfId="4" applyNumberFormat="1" applyFont="1" applyFill="1" applyBorder="1" applyAlignment="1">
      <alignment horizontal="left" vertical="center" wrapText="1"/>
    </xf>
    <xf numFmtId="49" fontId="30" fillId="0" borderId="8" xfId="4" applyNumberFormat="1" applyFont="1" applyFill="1" applyBorder="1" applyAlignment="1">
      <alignment horizontal="left" vertical="center" wrapText="1"/>
    </xf>
    <xf numFmtId="49" fontId="30" fillId="0" borderId="9" xfId="4" applyNumberFormat="1" applyFont="1" applyFill="1" applyBorder="1" applyAlignment="1">
      <alignment horizontal="left" vertical="center" wrapText="1"/>
    </xf>
    <xf numFmtId="3" fontId="30" fillId="0" borderId="9" xfId="8" applyNumberFormat="1" applyFont="1" applyFill="1" applyBorder="1" applyAlignment="1">
      <alignment horizontal="center" vertical="center" wrapText="1"/>
    </xf>
    <xf numFmtId="3" fontId="30" fillId="0" borderId="16" xfId="8" applyNumberFormat="1" applyFont="1" applyFill="1" applyBorder="1" applyAlignment="1">
      <alignment horizontal="center" vertical="center" wrapText="1"/>
    </xf>
    <xf numFmtId="168" fontId="30" fillId="0" borderId="11" xfId="8" applyNumberFormat="1" applyFont="1" applyFill="1" applyBorder="1" applyAlignment="1">
      <alignment horizontal="center" vertical="center" wrapText="1"/>
    </xf>
    <xf numFmtId="168" fontId="30" fillId="0" borderId="16" xfId="8" applyNumberFormat="1" applyFont="1" applyFill="1" applyBorder="1" applyAlignment="1">
      <alignment horizontal="center" vertical="center" wrapText="1"/>
    </xf>
    <xf numFmtId="49" fontId="30" fillId="0" borderId="3" xfId="4" applyNumberFormat="1" applyFont="1" applyFill="1" applyBorder="1" applyAlignment="1">
      <alignment horizontal="left" vertical="center" wrapText="1"/>
    </xf>
    <xf numFmtId="168" fontId="30" fillId="0" borderId="37" xfId="8" applyNumberFormat="1" applyFont="1" applyFill="1" applyBorder="1" applyAlignment="1">
      <alignment horizontal="center" vertical="center" wrapText="1"/>
    </xf>
    <xf numFmtId="3" fontId="27" fillId="0" borderId="9" xfId="8" applyNumberFormat="1" applyFont="1" applyFill="1" applyBorder="1" applyAlignment="1">
      <alignment horizontal="center" vertical="center" wrapText="1"/>
    </xf>
    <xf numFmtId="3" fontId="27" fillId="0" borderId="16" xfId="8" applyNumberFormat="1" applyFont="1" applyFill="1" applyBorder="1" applyAlignment="1">
      <alignment horizontal="center" vertical="center" wrapText="1"/>
    </xf>
    <xf numFmtId="3" fontId="7" fillId="0" borderId="14" xfId="8" applyNumberFormat="1" applyFont="1" applyFill="1" applyBorder="1" applyAlignment="1">
      <alignment horizontal="center" vertical="center"/>
    </xf>
    <xf numFmtId="3" fontId="27" fillId="0" borderId="15" xfId="8" applyNumberFormat="1" applyFont="1" applyFill="1" applyBorder="1" applyAlignment="1">
      <alignment horizontal="center" vertical="center" wrapText="1"/>
    </xf>
    <xf numFmtId="10" fontId="27" fillId="0" borderId="1" xfId="8" applyNumberFormat="1" applyFont="1" applyFill="1" applyBorder="1" applyAlignment="1">
      <alignment horizontal="center" vertical="center" wrapText="1"/>
    </xf>
    <xf numFmtId="0" fontId="31" fillId="6" borderId="0" xfId="4" applyFont="1" applyFill="1" applyAlignment="1">
      <alignment vertical="center"/>
    </xf>
    <xf numFmtId="0" fontId="32" fillId="6" borderId="0" xfId="4" applyFont="1" applyFill="1" applyAlignment="1">
      <alignment vertical="center"/>
    </xf>
    <xf numFmtId="0" fontId="27" fillId="6" borderId="0" xfId="4" applyFont="1" applyFill="1" applyAlignment="1">
      <alignment vertical="center"/>
    </xf>
    <xf numFmtId="49" fontId="30" fillId="0" borderId="10" xfId="4" applyNumberFormat="1" applyFont="1" applyFill="1" applyBorder="1" applyAlignment="1">
      <alignment horizontal="left" vertical="center" wrapText="1"/>
    </xf>
    <xf numFmtId="3" fontId="30" fillId="0" borderId="2" xfId="8" applyNumberFormat="1" applyFont="1" applyFill="1" applyBorder="1" applyAlignment="1">
      <alignment horizontal="center" vertical="center" wrapText="1"/>
    </xf>
    <xf numFmtId="168" fontId="30" fillId="0" borderId="12" xfId="8" applyNumberFormat="1" applyFont="1" applyFill="1" applyBorder="1" applyAlignment="1">
      <alignment horizontal="center" vertical="center" wrapText="1"/>
    </xf>
    <xf numFmtId="168" fontId="30" fillId="0" borderId="2" xfId="8" applyNumberFormat="1" applyFont="1" applyFill="1" applyBorder="1" applyAlignment="1">
      <alignment horizontal="center" vertical="center" wrapText="1"/>
    </xf>
    <xf numFmtId="168" fontId="30" fillId="0" borderId="31" xfId="8" applyNumberFormat="1" applyFont="1" applyFill="1" applyBorder="1" applyAlignment="1">
      <alignment horizontal="center" vertical="center" wrapText="1"/>
    </xf>
    <xf numFmtId="3" fontId="27" fillId="0" borderId="2" xfId="8" applyNumberFormat="1" applyFont="1" applyFill="1" applyBorder="1" applyAlignment="1">
      <alignment horizontal="center" vertical="center" wrapText="1"/>
    </xf>
    <xf numFmtId="3" fontId="27" fillId="0" borderId="10" xfId="8" applyNumberFormat="1" applyFont="1" applyFill="1" applyBorder="1" applyAlignment="1">
      <alignment horizontal="center" vertical="center" wrapText="1"/>
    </xf>
    <xf numFmtId="49" fontId="27" fillId="0" borderId="36" xfId="2" applyNumberFormat="1" applyFont="1" applyFill="1" applyBorder="1" applyAlignment="1">
      <alignment vertical="center"/>
    </xf>
    <xf numFmtId="2" fontId="1" fillId="4" borderId="1" xfId="0" applyNumberFormat="1" applyFont="1" applyFill="1" applyBorder="1" applyAlignment="1">
      <alignment horizontal="center" vertical="center" wrapText="1"/>
    </xf>
    <xf numFmtId="0" fontId="1" fillId="4" borderId="1" xfId="0" applyNumberFormat="1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68" fontId="15" fillId="3" borderId="1" xfId="4" applyNumberFormat="1" applyFont="1" applyFill="1" applyBorder="1" applyAlignment="1">
      <alignment horizontal="center" vertical="center" wrapText="1"/>
    </xf>
    <xf numFmtId="169" fontId="17" fillId="3" borderId="13" xfId="4" applyNumberFormat="1" applyFont="1" applyFill="1" applyBorder="1" applyAlignment="1">
      <alignment horizontal="center" vertical="center" wrapText="1"/>
    </xf>
    <xf numFmtId="169" fontId="17" fillId="3" borderId="14" xfId="4" applyNumberFormat="1" applyFont="1" applyFill="1" applyBorder="1" applyAlignment="1">
      <alignment horizontal="center" vertical="center" wrapText="1"/>
    </xf>
    <xf numFmtId="169" fontId="17" fillId="3" borderId="11" xfId="4" applyNumberFormat="1" applyFont="1" applyFill="1" applyBorder="1" applyAlignment="1">
      <alignment horizontal="center" vertical="center" wrapText="1"/>
    </xf>
    <xf numFmtId="169" fontId="17" fillId="3" borderId="12" xfId="4" applyNumberFormat="1" applyFont="1" applyFill="1" applyBorder="1" applyAlignment="1">
      <alignment horizontal="center" vertical="center" wrapText="1"/>
    </xf>
    <xf numFmtId="168" fontId="17" fillId="3" borderId="15" xfId="4" applyNumberFormat="1" applyFont="1" applyFill="1" applyBorder="1" applyAlignment="1">
      <alignment horizontal="center" vertical="center" wrapText="1"/>
    </xf>
    <xf numFmtId="168" fontId="17" fillId="3" borderId="10" xfId="4" applyNumberFormat="1" applyFont="1" applyFill="1" applyBorder="1" applyAlignment="1">
      <alignment horizontal="center" vertical="center" wrapText="1"/>
    </xf>
    <xf numFmtId="168" fontId="17" fillId="3" borderId="11" xfId="4" applyNumberFormat="1" applyFont="1" applyFill="1" applyBorder="1" applyAlignment="1">
      <alignment horizontal="center" vertical="center" wrapText="1"/>
    </xf>
    <xf numFmtId="168" fontId="17" fillId="3" borderId="12" xfId="4" applyNumberFormat="1" applyFont="1" applyFill="1" applyBorder="1" applyAlignment="1">
      <alignment horizontal="center" vertical="center" wrapText="1"/>
    </xf>
    <xf numFmtId="167" fontId="17" fillId="3" borderId="9" xfId="4" applyNumberFormat="1" applyFont="1" applyFill="1" applyBorder="1" applyAlignment="1">
      <alignment horizontal="center" vertical="center" wrapText="1"/>
    </xf>
    <xf numFmtId="167" fontId="15" fillId="3" borderId="1" xfId="4" applyNumberFormat="1" applyFont="1" applyFill="1" applyBorder="1" applyAlignment="1">
      <alignment horizontal="center" vertical="center" wrapText="1"/>
    </xf>
    <xf numFmtId="168" fontId="17" fillId="3" borderId="1" xfId="4" applyNumberFormat="1" applyFont="1" applyFill="1" applyBorder="1" applyAlignment="1">
      <alignment horizontal="center" vertical="center" wrapText="1"/>
    </xf>
    <xf numFmtId="168" fontId="17" fillId="3" borderId="13" xfId="4" applyNumberFormat="1" applyFont="1" applyFill="1" applyBorder="1" applyAlignment="1">
      <alignment horizontal="center" vertical="center" wrapText="1"/>
    </xf>
    <xf numFmtId="168" fontId="17" fillId="3" borderId="14" xfId="4" applyNumberFormat="1" applyFont="1" applyFill="1" applyBorder="1" applyAlignment="1">
      <alignment horizontal="center" vertical="center" wrapText="1"/>
    </xf>
    <xf numFmtId="3" fontId="1" fillId="3" borderId="1" xfId="0" applyNumberFormat="1" applyFont="1" applyFill="1" applyBorder="1" applyAlignment="1" applyProtection="1">
      <alignment horizontal="center" vertical="center" wrapText="1"/>
      <protection hidden="1"/>
    </xf>
    <xf numFmtId="165" fontId="1" fillId="3" borderId="3" xfId="0" applyNumberFormat="1" applyFont="1" applyFill="1" applyBorder="1" applyAlignment="1" applyProtection="1">
      <alignment horizontal="center" vertical="center" wrapText="1"/>
      <protection hidden="1"/>
    </xf>
    <xf numFmtId="165" fontId="1" fillId="3" borderId="4" xfId="0" applyNumberFormat="1" applyFont="1" applyFill="1" applyBorder="1" applyAlignment="1" applyProtection="1">
      <alignment horizontal="center" vertical="center" wrapText="1"/>
      <protection hidden="1"/>
    </xf>
    <xf numFmtId="165" fontId="1" fillId="3" borderId="7" xfId="0" applyNumberFormat="1" applyFont="1" applyFill="1" applyBorder="1" applyAlignment="1" applyProtection="1">
      <alignment horizontal="center" vertical="center" wrapText="1"/>
      <protection hidden="1"/>
    </xf>
    <xf numFmtId="49" fontId="1" fillId="3" borderId="1" xfId="0" applyNumberFormat="1" applyFont="1" applyFill="1" applyBorder="1" applyAlignment="1" applyProtection="1">
      <alignment horizontal="center" vertical="center"/>
    </xf>
    <xf numFmtId="3" fontId="1" fillId="3" borderId="1" xfId="0" applyNumberFormat="1" applyFont="1" applyFill="1" applyBorder="1" applyAlignment="1" applyProtection="1">
      <alignment horizontal="center" vertical="center" wrapText="1"/>
    </xf>
    <xf numFmtId="3" fontId="1" fillId="3" borderId="16" xfId="0" applyNumberFormat="1" applyFont="1" applyFill="1" applyBorder="1" applyAlignment="1" applyProtection="1">
      <alignment horizontal="center" vertical="center" wrapText="1"/>
      <protection hidden="1"/>
    </xf>
    <xf numFmtId="3" fontId="1" fillId="3" borderId="2" xfId="0" applyNumberFormat="1" applyFont="1" applyFill="1" applyBorder="1" applyAlignment="1" applyProtection="1">
      <alignment horizontal="center" vertical="center" wrapText="1"/>
      <protection hidden="1"/>
    </xf>
    <xf numFmtId="3" fontId="1" fillId="3" borderId="3" xfId="0" applyNumberFormat="1" applyFont="1" applyFill="1" applyBorder="1" applyAlignment="1" applyProtection="1">
      <alignment horizontal="center" vertical="center" wrapText="1"/>
      <protection hidden="1"/>
    </xf>
    <xf numFmtId="3" fontId="1" fillId="3" borderId="7" xfId="0" applyNumberFormat="1" applyFont="1" applyFill="1" applyBorder="1" applyAlignment="1" applyProtection="1">
      <alignment horizontal="center" vertical="center" wrapText="1"/>
      <protection hidden="1"/>
    </xf>
    <xf numFmtId="41" fontId="1" fillId="3" borderId="3" xfId="0" quotePrefix="1" applyNumberFormat="1" applyFont="1" applyFill="1" applyBorder="1" applyAlignment="1" applyProtection="1">
      <alignment horizontal="center" vertical="center" wrapText="1"/>
      <protection hidden="1"/>
    </xf>
    <xf numFmtId="41" fontId="1" fillId="3" borderId="4" xfId="0" applyNumberFormat="1" applyFont="1" applyFill="1" applyBorder="1" applyAlignment="1" applyProtection="1">
      <alignment horizontal="center" vertical="center" wrapText="1"/>
      <protection hidden="1"/>
    </xf>
    <xf numFmtId="41" fontId="1" fillId="3" borderId="7" xfId="0" applyNumberFormat="1" applyFont="1" applyFill="1" applyBorder="1" applyAlignment="1" applyProtection="1">
      <alignment horizontal="center" vertical="center" wrapText="1"/>
      <protection hidden="1"/>
    </xf>
    <xf numFmtId="41" fontId="1" fillId="3" borderId="3" xfId="0" applyNumberFormat="1" applyFont="1" applyFill="1" applyBorder="1" applyAlignment="1" applyProtection="1">
      <alignment horizontal="center" vertical="center" wrapText="1"/>
      <protection hidden="1"/>
    </xf>
    <xf numFmtId="165" fontId="1" fillId="3" borderId="3" xfId="0" quotePrefix="1" applyNumberFormat="1" applyFont="1" applyFill="1" applyBorder="1" applyAlignment="1" applyProtection="1">
      <alignment horizontal="center" vertical="center" wrapText="1"/>
      <protection hidden="1"/>
    </xf>
    <xf numFmtId="3" fontId="30" fillId="0" borderId="16" xfId="8" applyNumberFormat="1" applyFont="1" applyFill="1" applyBorder="1" applyAlignment="1">
      <alignment horizontal="center" vertical="center" wrapText="1"/>
    </xf>
    <xf numFmtId="3" fontId="30" fillId="0" borderId="2" xfId="8" applyNumberFormat="1" applyFont="1" applyFill="1" applyBorder="1" applyAlignment="1">
      <alignment horizontal="center" vertical="center" wrapText="1"/>
    </xf>
    <xf numFmtId="0" fontId="27" fillId="0" borderId="16" xfId="4" applyNumberFormat="1" applyFont="1" applyFill="1" applyBorder="1" applyAlignment="1">
      <alignment horizontal="left" vertical="center" wrapText="1"/>
    </xf>
    <xf numFmtId="0" fontId="27" fillId="0" borderId="2" xfId="4" applyNumberFormat="1" applyFont="1" applyFill="1" applyBorder="1" applyAlignment="1">
      <alignment horizontal="left" vertical="center" wrapText="1"/>
    </xf>
    <xf numFmtId="3" fontId="30" fillId="0" borderId="37" xfId="8" applyNumberFormat="1" applyFont="1" applyFill="1" applyBorder="1" applyAlignment="1">
      <alignment horizontal="center" vertical="center" wrapText="1"/>
    </xf>
    <xf numFmtId="3" fontId="30" fillId="0" borderId="31" xfId="8" applyNumberFormat="1" applyFont="1" applyFill="1" applyBorder="1" applyAlignment="1">
      <alignment horizontal="center" vertical="center" wrapText="1"/>
    </xf>
    <xf numFmtId="168" fontId="30" fillId="0" borderId="16" xfId="8" applyNumberFormat="1" applyFont="1" applyFill="1" applyBorder="1" applyAlignment="1">
      <alignment horizontal="center" vertical="center" wrapText="1"/>
    </xf>
    <xf numFmtId="168" fontId="30" fillId="0" borderId="2" xfId="8" applyNumberFormat="1" applyFont="1" applyFill="1" applyBorder="1" applyAlignment="1">
      <alignment horizontal="center" vertical="center" wrapText="1"/>
    </xf>
    <xf numFmtId="3" fontId="27" fillId="0" borderId="37" xfId="8" applyNumberFormat="1" applyFont="1" applyFill="1" applyBorder="1" applyAlignment="1">
      <alignment horizontal="center" vertical="center" wrapText="1"/>
    </xf>
    <xf numFmtId="3" fontId="27" fillId="0" borderId="31" xfId="8" applyNumberFormat="1" applyFont="1" applyFill="1" applyBorder="1" applyAlignment="1">
      <alignment horizontal="center" vertical="center" wrapText="1"/>
    </xf>
    <xf numFmtId="3" fontId="27" fillId="0" borderId="16" xfId="8" applyNumberFormat="1" applyFont="1" applyFill="1" applyBorder="1" applyAlignment="1">
      <alignment horizontal="center" vertical="center" wrapText="1"/>
    </xf>
    <xf numFmtId="3" fontId="27" fillId="0" borderId="2" xfId="8" applyNumberFormat="1" applyFont="1" applyFill="1" applyBorder="1" applyAlignment="1">
      <alignment horizontal="center" vertical="center" wrapText="1"/>
    </xf>
    <xf numFmtId="167" fontId="27" fillId="0" borderId="16" xfId="8" applyNumberFormat="1" applyFont="1" applyFill="1" applyBorder="1" applyAlignment="1">
      <alignment horizontal="center" vertical="center" wrapText="1"/>
    </xf>
    <xf numFmtId="167" fontId="27" fillId="0" borderId="2" xfId="8" applyNumberFormat="1" applyFont="1" applyFill="1" applyBorder="1" applyAlignment="1">
      <alignment horizontal="center" vertical="center" wrapText="1"/>
    </xf>
    <xf numFmtId="170" fontId="7" fillId="0" borderId="16" xfId="5" applyNumberFormat="1" applyFont="1" applyFill="1" applyBorder="1" applyAlignment="1">
      <alignment horizontal="center" vertical="center" wrapText="1"/>
    </xf>
    <xf numFmtId="170" fontId="7" fillId="0" borderId="2" xfId="5" applyNumberFormat="1" applyFont="1" applyFill="1" applyBorder="1" applyAlignment="1">
      <alignment horizontal="center" vertical="center" wrapText="1"/>
    </xf>
    <xf numFmtId="3" fontId="27" fillId="0" borderId="1" xfId="8" applyNumberFormat="1" applyFont="1" applyFill="1" applyBorder="1" applyAlignment="1">
      <alignment horizontal="center" vertical="center" wrapText="1"/>
    </xf>
    <xf numFmtId="167" fontId="1" fillId="3" borderId="3" xfId="4" applyNumberFormat="1" applyFont="1" applyFill="1" applyBorder="1" applyAlignment="1">
      <alignment horizontal="center" vertical="center" wrapText="1"/>
    </xf>
    <xf numFmtId="167" fontId="1" fillId="3" borderId="5" xfId="4" applyNumberFormat="1" applyFont="1" applyFill="1" applyBorder="1" applyAlignment="1">
      <alignment horizontal="center" vertical="center" wrapText="1"/>
    </xf>
    <xf numFmtId="169" fontId="1" fillId="3" borderId="3" xfId="4" applyNumberFormat="1" applyFont="1" applyFill="1" applyBorder="1" applyAlignment="1">
      <alignment horizontal="center" vertical="center" wrapText="1"/>
    </xf>
    <xf numFmtId="169" fontId="1" fillId="3" borderId="4" xfId="4" applyNumberFormat="1" applyFont="1" applyFill="1" applyBorder="1" applyAlignment="1">
      <alignment horizontal="center" vertical="center" wrapText="1"/>
    </xf>
    <xf numFmtId="169" fontId="1" fillId="3" borderId="5" xfId="4" applyNumberFormat="1" applyFont="1" applyFill="1" applyBorder="1" applyAlignment="1">
      <alignment horizontal="center" vertical="center" wrapText="1"/>
    </xf>
    <xf numFmtId="167" fontId="1" fillId="3" borderId="6" xfId="4" applyNumberFormat="1" applyFont="1" applyFill="1" applyBorder="1" applyAlignment="1">
      <alignment horizontal="center" vertical="center" wrapText="1"/>
    </xf>
    <xf numFmtId="167" fontId="1" fillId="3" borderId="4" xfId="4" applyNumberFormat="1" applyFont="1" applyFill="1" applyBorder="1" applyAlignment="1">
      <alignment horizontal="center" vertical="center" wrapText="1"/>
    </xf>
    <xf numFmtId="167" fontId="1" fillId="3" borderId="7" xfId="4" applyNumberFormat="1" applyFont="1" applyFill="1" applyBorder="1" applyAlignment="1">
      <alignment horizontal="center" vertical="center" wrapText="1"/>
    </xf>
    <xf numFmtId="167" fontId="1" fillId="3" borderId="13" xfId="4" applyNumberFormat="1" applyFont="1" applyFill="1" applyBorder="1" applyAlignment="1">
      <alignment horizontal="center" vertical="center" wrapText="1"/>
    </xf>
    <xf numFmtId="167" fontId="1" fillId="3" borderId="15" xfId="4" applyNumberFormat="1" applyFont="1" applyFill="1" applyBorder="1" applyAlignment="1">
      <alignment horizontal="center" vertical="center" wrapText="1"/>
    </xf>
    <xf numFmtId="167" fontId="1" fillId="3" borderId="32" xfId="4" applyNumberFormat="1" applyFont="1" applyFill="1" applyBorder="1" applyAlignment="1">
      <alignment horizontal="center" vertical="center" wrapText="1"/>
    </xf>
    <xf numFmtId="167" fontId="1" fillId="3" borderId="1" xfId="4" applyNumberFormat="1" applyFont="1" applyFill="1" applyBorder="1" applyAlignment="1">
      <alignment horizontal="center" vertical="center" wrapText="1"/>
    </xf>
    <xf numFmtId="168" fontId="1" fillId="3" borderId="36" xfId="4" applyNumberFormat="1" applyFont="1" applyFill="1" applyBorder="1" applyAlignment="1">
      <alignment horizontal="center" vertical="center" wrapText="1"/>
    </xf>
    <xf numFmtId="168" fontId="1" fillId="3" borderId="23" xfId="4" applyNumberFormat="1" applyFont="1" applyFill="1" applyBorder="1" applyAlignment="1">
      <alignment horizontal="center" vertical="center" wrapText="1"/>
    </xf>
    <xf numFmtId="168" fontId="1" fillId="3" borderId="24" xfId="4" applyNumberFormat="1" applyFont="1" applyFill="1" applyBorder="1" applyAlignment="1">
      <alignment horizontal="center" vertical="center" wrapText="1"/>
    </xf>
    <xf numFmtId="168" fontId="1" fillId="3" borderId="16" xfId="4" applyNumberFormat="1" applyFont="1" applyFill="1" applyBorder="1" applyAlignment="1">
      <alignment horizontal="center" vertical="center" wrapText="1"/>
    </xf>
    <xf numFmtId="168" fontId="1" fillId="3" borderId="26" xfId="4" applyNumberFormat="1" applyFont="1" applyFill="1" applyBorder="1" applyAlignment="1">
      <alignment horizontal="center" vertical="center" wrapText="1"/>
    </xf>
    <xf numFmtId="168" fontId="1" fillId="3" borderId="2" xfId="4" applyNumberFormat="1" applyFont="1" applyFill="1" applyBorder="1" applyAlignment="1">
      <alignment horizontal="center" vertical="center" wrapText="1"/>
    </xf>
    <xf numFmtId="167" fontId="15" fillId="3" borderId="9" xfId="4" applyNumberFormat="1" applyFont="1" applyFill="1" applyBorder="1" applyAlignment="1">
      <alignment horizontal="center" vertical="center" wrapText="1"/>
    </xf>
    <xf numFmtId="168" fontId="1" fillId="3" borderId="1" xfId="4" applyNumberFormat="1" applyFont="1" applyFill="1" applyBorder="1" applyAlignment="1">
      <alignment horizontal="center" vertical="center" wrapText="1"/>
    </xf>
    <xf numFmtId="168" fontId="1" fillId="3" borderId="13" xfId="4" applyNumberFormat="1" applyFont="1" applyFill="1" applyBorder="1" applyAlignment="1">
      <alignment horizontal="center" vertical="center" wrapText="1"/>
    </xf>
    <xf numFmtId="168" fontId="1" fillId="3" borderId="11" xfId="4" applyNumberFormat="1" applyFont="1" applyFill="1" applyBorder="1" applyAlignment="1">
      <alignment horizontal="center" vertical="center" wrapText="1"/>
    </xf>
    <xf numFmtId="168" fontId="1" fillId="3" borderId="14" xfId="4" applyNumberFormat="1" applyFont="1" applyFill="1" applyBorder="1" applyAlignment="1">
      <alignment horizontal="center" vertical="center" wrapText="1"/>
    </xf>
    <xf numFmtId="168" fontId="1" fillId="3" borderId="12" xfId="4" applyNumberFormat="1" applyFont="1" applyFill="1" applyBorder="1" applyAlignment="1">
      <alignment horizontal="center" vertical="center" wrapText="1"/>
    </xf>
    <xf numFmtId="169" fontId="1" fillId="3" borderId="13" xfId="4" applyNumberFormat="1" applyFont="1" applyFill="1" applyBorder="1" applyAlignment="1">
      <alignment horizontal="center" vertical="center" wrapText="1"/>
    </xf>
    <xf numFmtId="169" fontId="1" fillId="3" borderId="11" xfId="4" applyNumberFormat="1" applyFont="1" applyFill="1" applyBorder="1" applyAlignment="1">
      <alignment horizontal="center" vertical="center" wrapText="1"/>
    </xf>
    <xf numFmtId="169" fontId="1" fillId="3" borderId="14" xfId="4" applyNumberFormat="1" applyFont="1" applyFill="1" applyBorder="1" applyAlignment="1">
      <alignment horizontal="center" vertical="center" wrapText="1"/>
    </xf>
    <xf numFmtId="169" fontId="1" fillId="3" borderId="12" xfId="4" applyNumberFormat="1" applyFont="1" applyFill="1" applyBorder="1" applyAlignment="1">
      <alignment horizontal="center" vertical="center" wrapText="1"/>
    </xf>
    <xf numFmtId="17" fontId="1" fillId="3" borderId="17" xfId="4" applyNumberFormat="1" applyFont="1" applyFill="1" applyBorder="1" applyAlignment="1">
      <alignment horizontal="center" vertical="center" wrapText="1"/>
    </xf>
    <xf numFmtId="17" fontId="1" fillId="3" borderId="18" xfId="4" applyNumberFormat="1" applyFont="1" applyFill="1" applyBorder="1" applyAlignment="1">
      <alignment horizontal="center" vertical="center" wrapText="1"/>
    </xf>
    <xf numFmtId="17" fontId="1" fillId="3" borderId="28" xfId="4" applyNumberFormat="1" applyFont="1" applyFill="1" applyBorder="1" applyAlignment="1">
      <alignment horizontal="center" vertical="center" wrapText="1"/>
    </xf>
    <xf numFmtId="17" fontId="1" fillId="3" borderId="0" xfId="4" applyNumberFormat="1" applyFont="1" applyFill="1" applyBorder="1" applyAlignment="1">
      <alignment horizontal="center" vertical="center" wrapText="1"/>
    </xf>
    <xf numFmtId="17" fontId="1" fillId="3" borderId="20" xfId="4" applyNumberFormat="1" applyFont="1" applyFill="1" applyBorder="1" applyAlignment="1">
      <alignment horizontal="center" vertical="center" wrapText="1"/>
    </xf>
    <xf numFmtId="17" fontId="1" fillId="3" borderId="10" xfId="4" applyNumberFormat="1" applyFont="1" applyFill="1" applyBorder="1" applyAlignment="1">
      <alignment horizontal="center" vertical="center" wrapText="1"/>
    </xf>
    <xf numFmtId="17" fontId="1" fillId="3" borderId="19" xfId="4" applyNumberFormat="1" applyFont="1" applyFill="1" applyBorder="1" applyAlignment="1">
      <alignment horizontal="center" vertical="center" wrapText="1"/>
    </xf>
    <xf numFmtId="17" fontId="1" fillId="3" borderId="21" xfId="4" applyNumberFormat="1" applyFont="1" applyFill="1" applyBorder="1" applyAlignment="1">
      <alignment horizontal="center" vertical="center" wrapText="1"/>
    </xf>
    <xf numFmtId="168" fontId="1" fillId="3" borderId="9" xfId="4" applyNumberFormat="1" applyFont="1" applyFill="1" applyBorder="1" applyAlignment="1">
      <alignment horizontal="center" vertical="center" wrapText="1"/>
    </xf>
    <xf numFmtId="17" fontId="1" fillId="3" borderId="33" xfId="4" applyNumberFormat="1" applyFont="1" applyFill="1" applyBorder="1" applyAlignment="1">
      <alignment horizontal="center" vertical="center" wrapText="1"/>
    </xf>
    <xf numFmtId="17" fontId="1" fillId="3" borderId="34" xfId="4" applyNumberFormat="1" applyFont="1" applyFill="1" applyBorder="1" applyAlignment="1">
      <alignment horizontal="center" vertical="center" wrapText="1"/>
    </xf>
    <xf numFmtId="17" fontId="1" fillId="3" borderId="35" xfId="4" applyNumberFormat="1" applyFont="1" applyFill="1" applyBorder="1" applyAlignment="1">
      <alignment horizontal="center" vertical="center" wrapText="1"/>
    </xf>
    <xf numFmtId="0" fontId="1" fillId="3" borderId="20" xfId="4" applyNumberFormat="1" applyFont="1" applyFill="1" applyBorder="1" applyAlignment="1">
      <alignment horizontal="center" vertical="center" wrapText="1"/>
    </xf>
    <xf numFmtId="0" fontId="1" fillId="3" borderId="10" xfId="4" applyNumberFormat="1" applyFont="1" applyFill="1" applyBorder="1" applyAlignment="1">
      <alignment horizontal="center" vertical="center" wrapText="1"/>
    </xf>
    <xf numFmtId="0" fontId="1" fillId="3" borderId="21" xfId="4" applyNumberFormat="1" applyFont="1" applyFill="1" applyBorder="1" applyAlignment="1">
      <alignment horizontal="center" vertical="center" wrapText="1"/>
    </xf>
    <xf numFmtId="168" fontId="1" fillId="3" borderId="15" xfId="4" applyNumberFormat="1" applyFont="1" applyFill="1" applyBorder="1" applyAlignment="1">
      <alignment horizontal="center" vertical="center" wrapText="1"/>
    </xf>
    <xf numFmtId="168" fontId="1" fillId="3" borderId="32" xfId="4" applyNumberFormat="1" applyFont="1" applyFill="1" applyBorder="1" applyAlignment="1">
      <alignment horizontal="center" vertical="center" wrapText="1"/>
    </xf>
    <xf numFmtId="168" fontId="1" fillId="3" borderId="10" xfId="4" applyNumberFormat="1" applyFont="1" applyFill="1" applyBorder="1" applyAlignment="1">
      <alignment horizontal="center" vertical="center" wrapText="1"/>
    </xf>
    <xf numFmtId="168" fontId="1" fillId="3" borderId="21" xfId="4" applyNumberFormat="1" applyFont="1" applyFill="1" applyBorder="1" applyAlignment="1">
      <alignment horizontal="center" vertical="center" wrapText="1"/>
    </xf>
    <xf numFmtId="167" fontId="15" fillId="3" borderId="3" xfId="4" applyNumberFormat="1" applyFont="1" applyFill="1" applyBorder="1" applyAlignment="1">
      <alignment horizontal="center" vertical="center" wrapText="1"/>
    </xf>
    <xf numFmtId="49" fontId="1" fillId="3" borderId="22" xfId="2" applyNumberFormat="1" applyFont="1" applyFill="1" applyBorder="1" applyAlignment="1">
      <alignment horizontal="center" vertical="center" wrapText="1"/>
    </xf>
    <xf numFmtId="49" fontId="1" fillId="3" borderId="23" xfId="2" applyNumberFormat="1" applyFont="1" applyFill="1" applyBorder="1" applyAlignment="1">
      <alignment horizontal="center" vertical="center" wrapText="1"/>
    </xf>
    <xf numFmtId="49" fontId="1" fillId="3" borderId="24" xfId="2" applyNumberFormat="1" applyFont="1" applyFill="1" applyBorder="1" applyAlignment="1">
      <alignment horizontal="center" vertical="center" wrapText="1"/>
    </xf>
    <xf numFmtId="49" fontId="1" fillId="3" borderId="25" xfId="4" applyNumberFormat="1" applyFont="1" applyFill="1" applyBorder="1" applyAlignment="1">
      <alignment horizontal="center" vertical="center" wrapText="1"/>
    </xf>
    <xf numFmtId="49" fontId="1" fillId="3" borderId="26" xfId="4" applyNumberFormat="1" applyFont="1" applyFill="1" applyBorder="1" applyAlignment="1">
      <alignment horizontal="center" vertical="center" wrapText="1"/>
    </xf>
    <xf numFmtId="49" fontId="1" fillId="3" borderId="2" xfId="4" applyNumberFormat="1" applyFont="1" applyFill="1" applyBorder="1" applyAlignment="1">
      <alignment horizontal="center" vertical="center" wrapText="1"/>
    </xf>
    <xf numFmtId="167" fontId="1" fillId="3" borderId="25" xfId="4" applyNumberFormat="1" applyFont="1" applyFill="1" applyBorder="1" applyAlignment="1">
      <alignment horizontal="center" vertical="center" wrapText="1"/>
    </xf>
    <xf numFmtId="167" fontId="1" fillId="3" borderId="26" xfId="4" applyNumberFormat="1" applyFont="1" applyFill="1" applyBorder="1" applyAlignment="1">
      <alignment horizontal="center" vertical="center" wrapText="1"/>
    </xf>
    <xf numFmtId="167" fontId="1" fillId="3" borderId="2" xfId="4" applyNumberFormat="1" applyFont="1" applyFill="1" applyBorder="1" applyAlignment="1">
      <alignment horizontal="center" vertical="center" wrapText="1"/>
    </xf>
    <xf numFmtId="167" fontId="1" fillId="3" borderId="19" xfId="4" applyNumberFormat="1" applyFont="1" applyFill="1" applyBorder="1" applyAlignment="1">
      <alignment horizontal="center" vertical="center" wrapText="1"/>
    </xf>
    <xf numFmtId="167" fontId="1" fillId="3" borderId="27" xfId="4" applyNumberFormat="1" applyFont="1" applyFill="1" applyBorder="1" applyAlignment="1">
      <alignment horizontal="center" vertical="center" wrapText="1"/>
    </xf>
    <xf numFmtId="167" fontId="1" fillId="3" borderId="21" xfId="4" applyNumberFormat="1" applyFont="1" applyFill="1" applyBorder="1" applyAlignment="1">
      <alignment horizontal="center" vertical="center" wrapText="1"/>
    </xf>
    <xf numFmtId="167" fontId="15" fillId="3" borderId="17" xfId="4" applyNumberFormat="1" applyFont="1" applyFill="1" applyBorder="1" applyAlignment="1">
      <alignment horizontal="center" vertical="center" wrapText="1"/>
    </xf>
    <xf numFmtId="167" fontId="15" fillId="3" borderId="28" xfId="4" applyNumberFormat="1" applyFont="1" applyFill="1" applyBorder="1" applyAlignment="1">
      <alignment horizontal="center" vertical="center" wrapText="1"/>
    </xf>
    <xf numFmtId="167" fontId="15" fillId="3" borderId="20" xfId="4" applyNumberFormat="1" applyFont="1" applyFill="1" applyBorder="1" applyAlignment="1">
      <alignment horizontal="center" vertical="center" wrapText="1"/>
    </xf>
    <xf numFmtId="167" fontId="15" fillId="3" borderId="29" xfId="4" applyNumberFormat="1" applyFont="1" applyFill="1" applyBorder="1" applyAlignment="1">
      <alignment horizontal="center" vertical="center" wrapText="1"/>
    </xf>
    <xf numFmtId="167" fontId="15" fillId="3" borderId="30" xfId="4" applyNumberFormat="1" applyFont="1" applyFill="1" applyBorder="1" applyAlignment="1">
      <alignment horizontal="center" vertical="center" wrapText="1"/>
    </xf>
    <xf numFmtId="167" fontId="15" fillId="3" borderId="31" xfId="4" applyNumberFormat="1" applyFont="1" applyFill="1" applyBorder="1" applyAlignment="1">
      <alignment horizontal="center" vertical="center" wrapText="1"/>
    </xf>
  </cellXfs>
  <cellStyles count="9">
    <cellStyle name="20% — акцент2" xfId="1" builtinId="34"/>
    <cellStyle name="Обычный" xfId="0" builtinId="0"/>
    <cellStyle name="Обычный 105 2" xfId="2"/>
    <cellStyle name="Обычный 115 3" xfId="3"/>
    <cellStyle name="Обычный_Операционный бюджет 2008" xfId="4"/>
    <cellStyle name="Процентный 10" xfId="5"/>
    <cellStyle name="Процентный 34" xfId="6"/>
    <cellStyle name="Процентный 45" xfId="7"/>
    <cellStyle name="Финансовый_Операционный бюджет 2008" xfId="8"/>
  </cellStyles>
  <dxfs count="109"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onsultant_cognos7/Desktop/&#1053;&#1086;&#1074;&#1072;&#1103;%20&#1087;&#1072;&#1087;&#1082;&#1072;/&#1041;&#1102;&#1076;&#1078;&#1077;&#1090;_&#1055;&#1051;&#1046;_1&#1082;&#1074;_2015_&#1079;&#1085;&#1072;&#1095;_&#1050;&#1086;&#1075;&#1085;&#1086;&#10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ание"/>
      <sheetName val="Допущения"/>
      <sheetName val="Маркетинг"/>
      <sheetName val="Экспл_доходы"/>
      <sheetName val="ВГО БДР РСБУ"/>
      <sheetName val="ВГО БДР РСБУ(old)"/>
      <sheetName val="БДР РСБУ $(old)"/>
      <sheetName val="БДР РСБУ $"/>
      <sheetName val="БДР РСБУ"/>
      <sheetName val="БДР РСБУ(old)"/>
      <sheetName val="БДДС"/>
      <sheetName val="Баланс РСБУ"/>
      <sheetName val="ДЗ РСБУ"/>
      <sheetName val="КЗ РСБУ"/>
      <sheetName val="ФА(год)РСБУ 2014_2015 $"/>
      <sheetName val="БДР (РСБУ)_ФА_год"/>
      <sheetName val="БДР (РСБУ)_ФА_факт_2014_2015"/>
      <sheetName val="ФА(кв)РСБУ 2015_2015 пл_факт"/>
      <sheetName val="БДР (РСБУ)_ФА_кв"/>
      <sheetName val="Экспл_расходы"/>
      <sheetName val="ФА(год) РСБУ 2015_пр_ФМ$"/>
      <sheetName val="ФА(год)РСБУ 2015_2015 пл_прруб."/>
      <sheetName val="ФА(кв)РСБУ 2014_2015_фактруб"/>
      <sheetName val="Инвест"/>
      <sheetName val="PL"/>
      <sheetName val="Переоценка"/>
      <sheetName val="опер_дох"/>
      <sheetName val="БДДС_корр"/>
      <sheetName val="ОНА_ОНО"/>
      <sheetName val="Общие"/>
      <sheetName val="амортизация_ОС"/>
      <sheetName val="КЗ РСБУ КОРР"/>
      <sheetName val="ДЗ РСБУ КОРР"/>
      <sheetName val="БДР_корр"/>
      <sheetName val="%%_по_займам"/>
      <sheetName val="Движение_займы_%"/>
      <sheetName val="Налог_на_прибыль"/>
      <sheetName val="Эфф_Бизнеса"/>
      <sheetName val="Rent-Roll"/>
      <sheetName val="Кап.затраты"/>
      <sheetName val="ФА(год)РСБУ ФМутв._план"/>
      <sheetName val="ФА(год)РСБУ ФМразр._план"/>
      <sheetName val="Расчеты_налоги"/>
      <sheetName val="ФА Доходы 2015"/>
      <sheetName val="%%_по_кредитам"/>
      <sheetName val="Rent-Roll 0"/>
      <sheetName val="ФА(год) РСБУ_пл_факт"/>
      <sheetName val="ФА(год) РСБУ_пр_факт"/>
      <sheetName val="Сравнение показателей"/>
      <sheetName val="ФА_факт_план"/>
      <sheetName val="Баланс_корр"/>
      <sheetName val="ДЗ РСБУ кор"/>
      <sheetName val="КЗ РСБУ кор"/>
      <sheetName val="ВГО Баланс РСБУ"/>
      <sheetName val="ВГО БДДС"/>
      <sheetName val="ФА Доходы_1кв"/>
      <sheetName val="ФА Доходы_янв"/>
      <sheetName val="ФА Доходы_фев"/>
      <sheetName val="ФА Доходы_март"/>
      <sheetName val="ФА Доходы_2кв"/>
      <sheetName val="ФА Доходы_апр"/>
      <sheetName val="ФА Доходы_май"/>
      <sheetName val="ФА Доходы_июн"/>
      <sheetName val="ФА Доходы_3кв"/>
      <sheetName val="ФА Доходы_июл"/>
      <sheetName val="ФА Доходы_авг"/>
      <sheetName val="ФА Доходы_сен"/>
      <sheetName val="ФА Доходы_4кв"/>
      <sheetName val="Rent-Roll 2"/>
      <sheetName val="ФА Доходы_окт"/>
      <sheetName val="Rent-Roll 1"/>
      <sheetName val="ФА Доходы_ноя"/>
      <sheetName val="ФА Доходы_дек"/>
    </sheetNames>
    <sheetDataSet>
      <sheetData sheetId="0">
        <row r="10">
          <cell r="B10" t="str">
            <v>Проект "Полежаевская"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B3632"/>
  <sheetViews>
    <sheetView workbookViewId="0">
      <selection activeCell="B16" sqref="B16"/>
    </sheetView>
  </sheetViews>
  <sheetFormatPr defaultRowHeight="15" x14ac:dyDescent="0.25"/>
  <cols>
    <col min="2" max="2" width="29.85546875" customWidth="1"/>
  </cols>
  <sheetData>
    <row r="1" spans="1:28" ht="15" customHeight="1" x14ac:dyDescent="0.25">
      <c r="A1" s="218" t="s">
        <v>0</v>
      </c>
      <c r="B1" s="219" t="s">
        <v>1</v>
      </c>
      <c r="C1" s="1">
        <v>2014</v>
      </c>
      <c r="D1" s="220">
        <v>2015</v>
      </c>
      <c r="E1" s="221"/>
      <c r="F1" s="221"/>
      <c r="G1" s="221"/>
      <c r="H1" s="222"/>
      <c r="I1" s="223" t="s">
        <v>2</v>
      </c>
      <c r="J1" s="223"/>
      <c r="K1" s="223"/>
      <c r="L1" s="223"/>
      <c r="M1" s="223"/>
      <c r="N1" s="223" t="s">
        <v>3</v>
      </c>
      <c r="O1" s="223"/>
      <c r="P1" s="223"/>
      <c r="Q1" s="223"/>
      <c r="R1" s="223"/>
      <c r="S1" s="224" t="s">
        <v>4</v>
      </c>
      <c r="T1" s="224"/>
      <c r="U1" s="224"/>
      <c r="V1" s="224"/>
      <c r="W1" s="224"/>
      <c r="X1" s="223" t="s">
        <v>5</v>
      </c>
      <c r="Y1" s="223"/>
      <c r="Z1" s="223"/>
      <c r="AA1" s="223"/>
      <c r="AB1" s="223"/>
    </row>
    <row r="2" spans="1:28" ht="15" customHeight="1" x14ac:dyDescent="0.25">
      <c r="A2" s="218"/>
      <c r="B2" s="219"/>
      <c r="C2" s="223" t="s">
        <v>6</v>
      </c>
      <c r="D2" s="223" t="s">
        <v>7</v>
      </c>
      <c r="E2" s="223" t="s">
        <v>6</v>
      </c>
      <c r="F2" s="223" t="s">
        <v>8</v>
      </c>
      <c r="G2" s="223" t="s">
        <v>9</v>
      </c>
      <c r="H2" s="223"/>
      <c r="I2" s="223" t="s">
        <v>7</v>
      </c>
      <c r="J2" s="223" t="s">
        <v>6</v>
      </c>
      <c r="K2" s="223" t="s">
        <v>8</v>
      </c>
      <c r="L2" s="223" t="s">
        <v>9</v>
      </c>
      <c r="M2" s="223"/>
      <c r="N2" s="223" t="s">
        <v>7</v>
      </c>
      <c r="O2" s="223" t="s">
        <v>6</v>
      </c>
      <c r="P2" s="223" t="s">
        <v>8</v>
      </c>
      <c r="Q2" s="223" t="s">
        <v>9</v>
      </c>
      <c r="R2" s="223"/>
      <c r="S2" s="223" t="s">
        <v>7</v>
      </c>
      <c r="T2" s="223" t="s">
        <v>6</v>
      </c>
      <c r="U2" s="223" t="s">
        <v>8</v>
      </c>
      <c r="V2" s="223" t="s">
        <v>9</v>
      </c>
      <c r="W2" s="223"/>
      <c r="X2" s="223" t="s">
        <v>7</v>
      </c>
      <c r="Y2" s="223" t="s">
        <v>6</v>
      </c>
      <c r="Z2" s="223" t="s">
        <v>8</v>
      </c>
      <c r="AA2" s="223" t="s">
        <v>9</v>
      </c>
      <c r="AB2" s="223"/>
    </row>
    <row r="3" spans="1:28" x14ac:dyDescent="0.25">
      <c r="A3" s="218"/>
      <c r="B3" s="219"/>
      <c r="C3" s="223"/>
      <c r="D3" s="223"/>
      <c r="E3" s="223"/>
      <c r="F3" s="223"/>
      <c r="G3" s="1" t="s">
        <v>10</v>
      </c>
      <c r="H3" s="1" t="s">
        <v>11</v>
      </c>
      <c r="I3" s="223"/>
      <c r="J3" s="223"/>
      <c r="K3" s="223"/>
      <c r="L3" s="1" t="s">
        <v>10</v>
      </c>
      <c r="M3" s="1" t="s">
        <v>11</v>
      </c>
      <c r="N3" s="223"/>
      <c r="O3" s="223"/>
      <c r="P3" s="223"/>
      <c r="Q3" s="1" t="s">
        <v>10</v>
      </c>
      <c r="R3" s="1" t="s">
        <v>11</v>
      </c>
      <c r="S3" s="223"/>
      <c r="T3" s="223"/>
      <c r="U3" s="223"/>
      <c r="V3" s="1" t="s">
        <v>10</v>
      </c>
      <c r="W3" s="1" t="s">
        <v>11</v>
      </c>
      <c r="X3" s="223"/>
      <c r="Y3" s="223"/>
      <c r="Z3" s="223"/>
      <c r="AA3" s="1" t="s">
        <v>10</v>
      </c>
      <c r="AB3" s="1" t="s">
        <v>11</v>
      </c>
    </row>
    <row r="4" spans="1:28" ht="18.75" x14ac:dyDescent="0.3">
      <c r="A4" s="3" t="str">
        <f>[1]Содержание!$B$10</f>
        <v>Проект "Полежаевская"</v>
      </c>
    </row>
    <row r="5" spans="1:28" ht="15.75" x14ac:dyDescent="0.25">
      <c r="A5" s="4" t="s">
        <v>12</v>
      </c>
    </row>
    <row r="6" spans="1:28" ht="20.25" x14ac:dyDescent="0.3">
      <c r="A6" s="5" t="s">
        <v>13</v>
      </c>
    </row>
    <row r="7" spans="1:28" x14ac:dyDescent="0.25">
      <c r="A7" s="6" t="s">
        <v>14</v>
      </c>
    </row>
    <row r="8" spans="1:28" ht="31.5" customHeight="1" x14ac:dyDescent="0.25">
      <c r="A8" s="9" t="s">
        <v>15</v>
      </c>
      <c r="B8" s="10" t="s">
        <v>16</v>
      </c>
      <c r="C8" s="11"/>
      <c r="D8" s="11"/>
      <c r="E8" s="11">
        <f>'[1]БДР РСБУ $(old)'!E8</f>
        <v>0</v>
      </c>
      <c r="F8" s="11">
        <f>'[1]БДР РСБУ $(old)'!F8</f>
        <v>0</v>
      </c>
      <c r="G8" s="7">
        <f>E8-D8</f>
        <v>0</v>
      </c>
      <c r="H8" s="8" t="str">
        <f>IFERROR(E8/D8-1,"-")</f>
        <v>-</v>
      </c>
      <c r="I8" s="11">
        <f>'[1]БДР РСБУ $(old)'!I8</f>
        <v>0</v>
      </c>
      <c r="J8" s="11">
        <f>'[1]БДР РСБУ $(old)'!J8</f>
        <v>0</v>
      </c>
      <c r="K8" s="11">
        <f>'[1]БДР РСБУ $(old)'!K8</f>
        <v>0</v>
      </c>
      <c r="L8" s="7">
        <f>J8-I8</f>
        <v>0</v>
      </c>
      <c r="M8" s="8" t="str">
        <f>IFERROR(J8/I8-1,"-")</f>
        <v>-</v>
      </c>
      <c r="N8" s="11">
        <f>'[1]БДР РСБУ $(old)'!N8</f>
        <v>0</v>
      </c>
      <c r="O8" s="11">
        <f>'[1]БДР РСБУ $(old)'!O8</f>
        <v>0</v>
      </c>
      <c r="P8" s="11">
        <f>'[1]БДР РСБУ $(old)'!P8</f>
        <v>0</v>
      </c>
      <c r="Q8" s="7">
        <f>O8-N8</f>
        <v>0</v>
      </c>
      <c r="R8" s="8" t="str">
        <f>IFERROR(O8/N8-1,"-")</f>
        <v>-</v>
      </c>
      <c r="S8" s="11">
        <f>'[1]БДР РСБУ $(old)'!S8</f>
        <v>0</v>
      </c>
      <c r="T8" s="11">
        <f>'[1]БДР РСБУ $(old)'!T8</f>
        <v>0</v>
      </c>
      <c r="U8" s="11">
        <f>'[1]БДР РСБУ $(old)'!U8</f>
        <v>0</v>
      </c>
      <c r="V8" s="7">
        <f>T8-S8</f>
        <v>0</v>
      </c>
      <c r="W8" s="8" t="str">
        <f>IFERROR(T8/S8-1,"-")</f>
        <v>-</v>
      </c>
      <c r="X8" s="11">
        <f>'[1]БДР РСБУ $(old)'!X8</f>
        <v>0</v>
      </c>
      <c r="Y8" s="11">
        <f>'[1]БДР РСБУ $(old)'!Y8</f>
        <v>0</v>
      </c>
      <c r="Z8" s="11">
        <f>'[1]БДР РСБУ $(old)'!Z8</f>
        <v>0</v>
      </c>
      <c r="AA8" s="7">
        <f>Y8-X8</f>
        <v>0</v>
      </c>
      <c r="AB8" s="8" t="str">
        <f>IFERROR(Y8/X8-1,"-")</f>
        <v>-</v>
      </c>
    </row>
    <row r="9" spans="1:28" s="12" customFormat="1" x14ac:dyDescent="0.25"/>
    <row r="14" spans="1:28" x14ac:dyDescent="0.25">
      <c r="B14" t="s">
        <v>17</v>
      </c>
      <c r="I14">
        <v>59</v>
      </c>
    </row>
    <row r="15" spans="1:28" x14ac:dyDescent="0.25">
      <c r="B15" t="s">
        <v>18</v>
      </c>
    </row>
    <row r="16" spans="1:28" x14ac:dyDescent="0.25">
      <c r="B16" s="13" t="s">
        <v>19</v>
      </c>
    </row>
    <row r="17" spans="2:2" x14ac:dyDescent="0.25">
      <c r="B17" s="13" t="s">
        <v>20</v>
      </c>
    </row>
    <row r="2427" spans="8:8" x14ac:dyDescent="0.25">
      <c r="H2427" s="2"/>
    </row>
    <row r="2428" spans="8:8" x14ac:dyDescent="0.25">
      <c r="H2428" s="2"/>
    </row>
    <row r="2429" spans="8:8" x14ac:dyDescent="0.25">
      <c r="H2429" s="2"/>
    </row>
    <row r="2430" spans="8:8" x14ac:dyDescent="0.25">
      <c r="H2430" s="2"/>
    </row>
    <row r="2431" spans="8:8" x14ac:dyDescent="0.25">
      <c r="H2431" s="2"/>
    </row>
    <row r="2432" spans="8:8" x14ac:dyDescent="0.25">
      <c r="H2432" s="2"/>
    </row>
    <row r="2433" spans="8:8" x14ac:dyDescent="0.25">
      <c r="H2433" s="2"/>
    </row>
    <row r="2434" spans="8:8" x14ac:dyDescent="0.25">
      <c r="H2434" s="2"/>
    </row>
    <row r="2435" spans="8:8" x14ac:dyDescent="0.25">
      <c r="H2435" s="2"/>
    </row>
    <row r="2436" spans="8:8" x14ac:dyDescent="0.25">
      <c r="H2436" s="2"/>
    </row>
    <row r="2437" spans="8:8" x14ac:dyDescent="0.25">
      <c r="H2437" s="2"/>
    </row>
    <row r="2438" spans="8:8" x14ac:dyDescent="0.25">
      <c r="H2438" s="2"/>
    </row>
    <row r="2439" spans="8:8" x14ac:dyDescent="0.25">
      <c r="H2439" s="2"/>
    </row>
    <row r="2440" spans="8:8" x14ac:dyDescent="0.25">
      <c r="H2440" s="2"/>
    </row>
    <row r="2441" spans="8:8" x14ac:dyDescent="0.25">
      <c r="H2441" s="2"/>
    </row>
    <row r="2442" spans="8:8" x14ac:dyDescent="0.25">
      <c r="H2442" s="2"/>
    </row>
    <row r="2443" spans="8:8" x14ac:dyDescent="0.25">
      <c r="H2443" s="2"/>
    </row>
    <row r="2444" spans="8:8" x14ac:dyDescent="0.25">
      <c r="H2444" s="2"/>
    </row>
    <row r="2445" spans="8:8" x14ac:dyDescent="0.25">
      <c r="H2445" s="2"/>
    </row>
    <row r="2446" spans="8:8" x14ac:dyDescent="0.25">
      <c r="H2446" s="2"/>
    </row>
    <row r="2447" spans="8:8" x14ac:dyDescent="0.25">
      <c r="H2447" s="2"/>
    </row>
    <row r="2448" spans="8:8" x14ac:dyDescent="0.25">
      <c r="H2448" s="2"/>
    </row>
    <row r="2449" spans="8:8" x14ac:dyDescent="0.25">
      <c r="H2449" s="2"/>
    </row>
    <row r="2450" spans="8:8" x14ac:dyDescent="0.25">
      <c r="H2450" s="2"/>
    </row>
    <row r="2451" spans="8:8" x14ac:dyDescent="0.25">
      <c r="H2451" s="2"/>
    </row>
    <row r="2452" spans="8:8" x14ac:dyDescent="0.25">
      <c r="H2452" s="2"/>
    </row>
    <row r="2453" spans="8:8" x14ac:dyDescent="0.25">
      <c r="H2453" s="2"/>
    </row>
    <row r="2454" spans="8:8" x14ac:dyDescent="0.25">
      <c r="H2454" s="2"/>
    </row>
    <row r="2455" spans="8:8" x14ac:dyDescent="0.25">
      <c r="H2455" s="2"/>
    </row>
    <row r="2456" spans="8:8" x14ac:dyDescent="0.25">
      <c r="H2456" s="2"/>
    </row>
    <row r="2457" spans="8:8" x14ac:dyDescent="0.25">
      <c r="H2457" s="2"/>
    </row>
    <row r="2458" spans="8:8" x14ac:dyDescent="0.25">
      <c r="H2458" s="2"/>
    </row>
    <row r="2459" spans="8:8" x14ac:dyDescent="0.25">
      <c r="H2459" s="2"/>
    </row>
    <row r="2460" spans="8:8" x14ac:dyDescent="0.25">
      <c r="H2460" s="2"/>
    </row>
    <row r="2461" spans="8:8" x14ac:dyDescent="0.25">
      <c r="H2461" s="2"/>
    </row>
    <row r="2462" spans="8:8" x14ac:dyDescent="0.25">
      <c r="H2462" s="2"/>
    </row>
    <row r="2463" spans="8:8" x14ac:dyDescent="0.25">
      <c r="H2463" s="2"/>
    </row>
    <row r="2464" spans="8:8" x14ac:dyDescent="0.25">
      <c r="H2464" s="2"/>
    </row>
    <row r="2465" spans="8:8" x14ac:dyDescent="0.25">
      <c r="H2465" s="2"/>
    </row>
    <row r="2466" spans="8:8" x14ac:dyDescent="0.25">
      <c r="H2466" s="2"/>
    </row>
    <row r="2467" spans="8:8" x14ac:dyDescent="0.25">
      <c r="H2467" s="2"/>
    </row>
    <row r="2468" spans="8:8" x14ac:dyDescent="0.25">
      <c r="H2468" s="2"/>
    </row>
    <row r="2469" spans="8:8" x14ac:dyDescent="0.25">
      <c r="H2469" s="2"/>
    </row>
    <row r="2470" spans="8:8" x14ac:dyDescent="0.25">
      <c r="H2470" s="2"/>
    </row>
    <row r="2471" spans="8:8" x14ac:dyDescent="0.25">
      <c r="H2471" s="2"/>
    </row>
    <row r="2472" spans="8:8" x14ac:dyDescent="0.25">
      <c r="H2472" s="2"/>
    </row>
    <row r="2473" spans="8:8" x14ac:dyDescent="0.25">
      <c r="H2473" s="2"/>
    </row>
    <row r="2474" spans="8:8" x14ac:dyDescent="0.25">
      <c r="H2474" s="2"/>
    </row>
    <row r="2475" spans="8:8" x14ac:dyDescent="0.25">
      <c r="H2475" s="2"/>
    </row>
    <row r="2476" spans="8:8" x14ac:dyDescent="0.25">
      <c r="H2476" s="2"/>
    </row>
    <row r="2477" spans="8:8" x14ac:dyDescent="0.25">
      <c r="H2477" s="2"/>
    </row>
    <row r="2478" spans="8:8" x14ac:dyDescent="0.25">
      <c r="H2478" s="2"/>
    </row>
    <row r="2479" spans="8:8" x14ac:dyDescent="0.25">
      <c r="H2479" s="2"/>
    </row>
    <row r="2480" spans="8:8" x14ac:dyDescent="0.25">
      <c r="H2480" s="2"/>
    </row>
    <row r="2481" spans="8:8" x14ac:dyDescent="0.25">
      <c r="H2481" s="2"/>
    </row>
    <row r="2482" spans="8:8" x14ac:dyDescent="0.25">
      <c r="H2482" s="2"/>
    </row>
    <row r="2483" spans="8:8" x14ac:dyDescent="0.25">
      <c r="H2483" s="2"/>
    </row>
    <row r="2484" spans="8:8" x14ac:dyDescent="0.25">
      <c r="H2484" s="2"/>
    </row>
    <row r="2485" spans="8:8" x14ac:dyDescent="0.25">
      <c r="H2485" s="2"/>
    </row>
    <row r="2486" spans="8:8" x14ac:dyDescent="0.25">
      <c r="H2486" s="2"/>
    </row>
    <row r="2487" spans="8:8" x14ac:dyDescent="0.25">
      <c r="H2487" s="2"/>
    </row>
    <row r="2488" spans="8:8" x14ac:dyDescent="0.25">
      <c r="H2488" s="2"/>
    </row>
    <row r="2489" spans="8:8" x14ac:dyDescent="0.25">
      <c r="H2489" s="2"/>
    </row>
    <row r="2490" spans="8:8" x14ac:dyDescent="0.25">
      <c r="H2490" s="2"/>
    </row>
    <row r="2491" spans="8:8" x14ac:dyDescent="0.25">
      <c r="H2491" s="2"/>
    </row>
    <row r="2492" spans="8:8" x14ac:dyDescent="0.25">
      <c r="H2492" s="2"/>
    </row>
    <row r="2493" spans="8:8" x14ac:dyDescent="0.25">
      <c r="H2493" s="2"/>
    </row>
    <row r="2494" spans="8:8" x14ac:dyDescent="0.25">
      <c r="H2494" s="2"/>
    </row>
    <row r="2495" spans="8:8" x14ac:dyDescent="0.25">
      <c r="H2495" s="2"/>
    </row>
    <row r="2496" spans="8:8" x14ac:dyDescent="0.25">
      <c r="H2496" s="2"/>
    </row>
    <row r="2497" spans="8:8" x14ac:dyDescent="0.25">
      <c r="H2497" s="2"/>
    </row>
    <row r="2498" spans="8:8" x14ac:dyDescent="0.25">
      <c r="H2498" s="2"/>
    </row>
    <row r="2499" spans="8:8" x14ac:dyDescent="0.25">
      <c r="H2499" s="2"/>
    </row>
    <row r="2500" spans="8:8" x14ac:dyDescent="0.25">
      <c r="H2500" s="2"/>
    </row>
    <row r="2501" spans="8:8" x14ac:dyDescent="0.25">
      <c r="H2501" s="2"/>
    </row>
    <row r="2502" spans="8:8" x14ac:dyDescent="0.25">
      <c r="H2502" s="2"/>
    </row>
    <row r="2503" spans="8:8" x14ac:dyDescent="0.25">
      <c r="H2503" s="2"/>
    </row>
    <row r="2504" spans="8:8" x14ac:dyDescent="0.25">
      <c r="H2504" s="2"/>
    </row>
    <row r="2505" spans="8:8" x14ac:dyDescent="0.25">
      <c r="H2505" s="2"/>
    </row>
    <row r="2506" spans="8:8" x14ac:dyDescent="0.25">
      <c r="H2506" s="2"/>
    </row>
    <row r="2507" spans="8:8" x14ac:dyDescent="0.25">
      <c r="H2507" s="2"/>
    </row>
    <row r="2508" spans="8:8" x14ac:dyDescent="0.25">
      <c r="H2508" s="2"/>
    </row>
    <row r="2509" spans="8:8" x14ac:dyDescent="0.25">
      <c r="H2509" s="2"/>
    </row>
    <row r="2510" spans="8:8" x14ac:dyDescent="0.25">
      <c r="H2510" s="2"/>
    </row>
    <row r="2511" spans="8:8" x14ac:dyDescent="0.25">
      <c r="H2511" s="2"/>
    </row>
    <row r="2512" spans="8:8" x14ac:dyDescent="0.25">
      <c r="H2512" s="2"/>
    </row>
    <row r="2513" spans="8:8" x14ac:dyDescent="0.25">
      <c r="H2513" s="2"/>
    </row>
    <row r="2514" spans="8:8" x14ac:dyDescent="0.25">
      <c r="H2514" s="2"/>
    </row>
    <row r="2515" spans="8:8" x14ac:dyDescent="0.25">
      <c r="H2515" s="2"/>
    </row>
    <row r="2516" spans="8:8" x14ac:dyDescent="0.25">
      <c r="H2516" s="2"/>
    </row>
    <row r="2517" spans="8:8" x14ac:dyDescent="0.25">
      <c r="H2517" s="2"/>
    </row>
    <row r="2518" spans="8:8" x14ac:dyDescent="0.25">
      <c r="H2518" s="2"/>
    </row>
    <row r="2519" spans="8:8" x14ac:dyDescent="0.25">
      <c r="H2519" s="2"/>
    </row>
    <row r="2520" spans="8:8" x14ac:dyDescent="0.25">
      <c r="H2520" s="2"/>
    </row>
    <row r="2521" spans="8:8" x14ac:dyDescent="0.25">
      <c r="H2521" s="2"/>
    </row>
    <row r="2522" spans="8:8" x14ac:dyDescent="0.25">
      <c r="H2522" s="2"/>
    </row>
    <row r="2523" spans="8:8" x14ac:dyDescent="0.25">
      <c r="H2523" s="2"/>
    </row>
    <row r="2524" spans="8:8" x14ac:dyDescent="0.25">
      <c r="H2524" s="2"/>
    </row>
    <row r="2525" spans="8:8" x14ac:dyDescent="0.25">
      <c r="H2525" s="2"/>
    </row>
    <row r="2526" spans="8:8" x14ac:dyDescent="0.25">
      <c r="H2526" s="2"/>
    </row>
    <row r="2527" spans="8:8" x14ac:dyDescent="0.25">
      <c r="H2527" s="2"/>
    </row>
    <row r="2528" spans="8:8" x14ac:dyDescent="0.25">
      <c r="H2528" s="2"/>
    </row>
    <row r="2529" spans="8:8" x14ac:dyDescent="0.25">
      <c r="H2529" s="2"/>
    </row>
    <row r="2530" spans="8:8" x14ac:dyDescent="0.25">
      <c r="H2530" s="2"/>
    </row>
    <row r="2531" spans="8:8" x14ac:dyDescent="0.25">
      <c r="H2531" s="2"/>
    </row>
    <row r="2532" spans="8:8" x14ac:dyDescent="0.25">
      <c r="H2532" s="2"/>
    </row>
    <row r="2533" spans="8:8" x14ac:dyDescent="0.25">
      <c r="H2533" s="2"/>
    </row>
    <row r="2534" spans="8:8" x14ac:dyDescent="0.25">
      <c r="H2534" s="2"/>
    </row>
    <row r="2535" spans="8:8" x14ac:dyDescent="0.25">
      <c r="H2535" s="2"/>
    </row>
    <row r="2536" spans="8:8" x14ac:dyDescent="0.25">
      <c r="H2536" s="2"/>
    </row>
    <row r="2537" spans="8:8" x14ac:dyDescent="0.25">
      <c r="H2537" s="2"/>
    </row>
    <row r="2538" spans="8:8" x14ac:dyDescent="0.25">
      <c r="H2538" s="2"/>
    </row>
    <row r="2539" spans="8:8" x14ac:dyDescent="0.25">
      <c r="H2539" s="2"/>
    </row>
    <row r="2540" spans="8:8" x14ac:dyDescent="0.25">
      <c r="H2540" s="2"/>
    </row>
    <row r="2541" spans="8:8" x14ac:dyDescent="0.25">
      <c r="H2541" s="2"/>
    </row>
    <row r="2542" spans="8:8" x14ac:dyDescent="0.25">
      <c r="H2542" s="2"/>
    </row>
    <row r="2543" spans="8:8" x14ac:dyDescent="0.25">
      <c r="H2543" s="2"/>
    </row>
    <row r="2544" spans="8:8" x14ac:dyDescent="0.25">
      <c r="H2544" s="2"/>
    </row>
    <row r="2545" spans="8:8" x14ac:dyDescent="0.25">
      <c r="H2545" s="2"/>
    </row>
    <row r="2546" spans="8:8" x14ac:dyDescent="0.25">
      <c r="H2546" s="2"/>
    </row>
    <row r="2547" spans="8:8" x14ac:dyDescent="0.25">
      <c r="H2547" s="2"/>
    </row>
    <row r="2548" spans="8:8" x14ac:dyDescent="0.25">
      <c r="H2548" s="2"/>
    </row>
    <row r="2549" spans="8:8" x14ac:dyDescent="0.25">
      <c r="H2549" s="2"/>
    </row>
    <row r="2550" spans="8:8" x14ac:dyDescent="0.25">
      <c r="H2550" s="2"/>
    </row>
    <row r="2551" spans="8:8" x14ac:dyDescent="0.25">
      <c r="H2551" s="2"/>
    </row>
    <row r="2552" spans="8:8" x14ac:dyDescent="0.25">
      <c r="H2552" s="2"/>
    </row>
    <row r="2553" spans="8:8" x14ac:dyDescent="0.25">
      <c r="H2553" s="2"/>
    </row>
    <row r="2554" spans="8:8" x14ac:dyDescent="0.25">
      <c r="H2554" s="2"/>
    </row>
    <row r="2555" spans="8:8" x14ac:dyDescent="0.25">
      <c r="H2555" s="2"/>
    </row>
    <row r="2556" spans="8:8" x14ac:dyDescent="0.25">
      <c r="H2556" s="2"/>
    </row>
    <row r="2557" spans="8:8" x14ac:dyDescent="0.25">
      <c r="H2557" s="2"/>
    </row>
    <row r="2558" spans="8:8" x14ac:dyDescent="0.25">
      <c r="H2558" s="2"/>
    </row>
    <row r="2559" spans="8:8" x14ac:dyDescent="0.25">
      <c r="H2559" s="2"/>
    </row>
    <row r="2560" spans="8:8" x14ac:dyDescent="0.25">
      <c r="H2560" s="2"/>
    </row>
    <row r="2561" spans="8:8" x14ac:dyDescent="0.25">
      <c r="H2561" s="2"/>
    </row>
    <row r="2562" spans="8:8" x14ac:dyDescent="0.25">
      <c r="H2562" s="2"/>
    </row>
    <row r="2563" spans="8:8" x14ac:dyDescent="0.25">
      <c r="H2563" s="2"/>
    </row>
    <row r="2564" spans="8:8" x14ac:dyDescent="0.25">
      <c r="H2564" s="2"/>
    </row>
    <row r="2565" spans="8:8" x14ac:dyDescent="0.25">
      <c r="H2565" s="2"/>
    </row>
    <row r="2566" spans="8:8" x14ac:dyDescent="0.25">
      <c r="H2566" s="2"/>
    </row>
    <row r="2567" spans="8:8" x14ac:dyDescent="0.25">
      <c r="H2567" s="2"/>
    </row>
    <row r="2568" spans="8:8" x14ac:dyDescent="0.25">
      <c r="H2568" s="2"/>
    </row>
    <row r="2569" spans="8:8" x14ac:dyDescent="0.25">
      <c r="H2569" s="2"/>
    </row>
    <row r="2570" spans="8:8" x14ac:dyDescent="0.25">
      <c r="H2570" s="2"/>
    </row>
    <row r="2571" spans="8:8" x14ac:dyDescent="0.25">
      <c r="H2571" s="2"/>
    </row>
    <row r="2572" spans="8:8" x14ac:dyDescent="0.25">
      <c r="H2572" s="2"/>
    </row>
    <row r="2573" spans="8:8" x14ac:dyDescent="0.25">
      <c r="H2573" s="2"/>
    </row>
    <row r="2574" spans="8:8" x14ac:dyDescent="0.25">
      <c r="H2574" s="2"/>
    </row>
    <row r="2575" spans="8:8" x14ac:dyDescent="0.25">
      <c r="H2575" s="2"/>
    </row>
    <row r="2576" spans="8:8" x14ac:dyDescent="0.25">
      <c r="H2576" s="2"/>
    </row>
    <row r="2577" spans="8:8" x14ac:dyDescent="0.25">
      <c r="H2577" s="2"/>
    </row>
    <row r="2578" spans="8:8" x14ac:dyDescent="0.25">
      <c r="H2578" s="2"/>
    </row>
    <row r="2579" spans="8:8" x14ac:dyDescent="0.25">
      <c r="H2579" s="2"/>
    </row>
    <row r="2580" spans="8:8" x14ac:dyDescent="0.25">
      <c r="H2580" s="2"/>
    </row>
    <row r="2581" spans="8:8" x14ac:dyDescent="0.25">
      <c r="H2581" s="2"/>
    </row>
    <row r="2582" spans="8:8" x14ac:dyDescent="0.25">
      <c r="H2582" s="2"/>
    </row>
    <row r="2583" spans="8:8" x14ac:dyDescent="0.25">
      <c r="H2583" s="2"/>
    </row>
    <row r="2584" spans="8:8" x14ac:dyDescent="0.25">
      <c r="H2584" s="2"/>
    </row>
    <row r="2585" spans="8:8" x14ac:dyDescent="0.25">
      <c r="H2585" s="2"/>
    </row>
    <row r="2586" spans="8:8" x14ac:dyDescent="0.25">
      <c r="H2586" s="2"/>
    </row>
    <row r="2587" spans="8:8" x14ac:dyDescent="0.25">
      <c r="H2587" s="2"/>
    </row>
    <row r="2588" spans="8:8" x14ac:dyDescent="0.25">
      <c r="H2588" s="2"/>
    </row>
    <row r="2589" spans="8:8" x14ac:dyDescent="0.25">
      <c r="H2589" s="2"/>
    </row>
    <row r="2590" spans="8:8" x14ac:dyDescent="0.25">
      <c r="H2590" s="2"/>
    </row>
    <row r="2591" spans="8:8" x14ac:dyDescent="0.25">
      <c r="H2591" s="2"/>
    </row>
    <row r="2592" spans="8:8" x14ac:dyDescent="0.25">
      <c r="H2592" s="2"/>
    </row>
    <row r="2593" spans="8:8" x14ac:dyDescent="0.25">
      <c r="H2593" s="2"/>
    </row>
    <row r="2594" spans="8:8" x14ac:dyDescent="0.25">
      <c r="H2594" s="2"/>
    </row>
    <row r="2595" spans="8:8" x14ac:dyDescent="0.25">
      <c r="H2595" s="2"/>
    </row>
    <row r="2596" spans="8:8" x14ac:dyDescent="0.25">
      <c r="H2596" s="2"/>
    </row>
    <row r="2597" spans="8:8" x14ac:dyDescent="0.25">
      <c r="H2597" s="2"/>
    </row>
    <row r="2598" spans="8:8" x14ac:dyDescent="0.25">
      <c r="H2598" s="2"/>
    </row>
    <row r="2599" spans="8:8" x14ac:dyDescent="0.25">
      <c r="H2599" s="2"/>
    </row>
    <row r="2600" spans="8:8" x14ac:dyDescent="0.25">
      <c r="H2600" s="2"/>
    </row>
    <row r="2601" spans="8:8" x14ac:dyDescent="0.25">
      <c r="H2601" s="2"/>
    </row>
    <row r="2602" spans="8:8" x14ac:dyDescent="0.25">
      <c r="H2602" s="2"/>
    </row>
    <row r="2603" spans="8:8" x14ac:dyDescent="0.25">
      <c r="H2603" s="2"/>
    </row>
    <row r="2604" spans="8:8" x14ac:dyDescent="0.25">
      <c r="H2604" s="2"/>
    </row>
    <row r="2605" spans="8:8" x14ac:dyDescent="0.25">
      <c r="H2605" s="2"/>
    </row>
    <row r="2606" spans="8:8" x14ac:dyDescent="0.25">
      <c r="H2606" s="2"/>
    </row>
    <row r="2607" spans="8:8" x14ac:dyDescent="0.25">
      <c r="H2607" s="2"/>
    </row>
    <row r="2608" spans="8:8" x14ac:dyDescent="0.25">
      <c r="H2608" s="2"/>
    </row>
    <row r="2609" spans="8:8" x14ac:dyDescent="0.25">
      <c r="H2609" s="2"/>
    </row>
    <row r="2610" spans="8:8" x14ac:dyDescent="0.25">
      <c r="H2610" s="2"/>
    </row>
    <row r="2611" spans="8:8" x14ac:dyDescent="0.25">
      <c r="H2611" s="2"/>
    </row>
    <row r="2612" spans="8:8" x14ac:dyDescent="0.25">
      <c r="H2612" s="2"/>
    </row>
    <row r="2613" spans="8:8" x14ac:dyDescent="0.25">
      <c r="H2613" s="2"/>
    </row>
    <row r="2614" spans="8:8" x14ac:dyDescent="0.25">
      <c r="H2614" s="2"/>
    </row>
    <row r="2615" spans="8:8" x14ac:dyDescent="0.25">
      <c r="H2615" s="2"/>
    </row>
    <row r="2616" spans="8:8" x14ac:dyDescent="0.25">
      <c r="H2616" s="2"/>
    </row>
    <row r="2617" spans="8:8" x14ac:dyDescent="0.25">
      <c r="H2617" s="2"/>
    </row>
    <row r="2618" spans="8:8" x14ac:dyDescent="0.25">
      <c r="H2618" s="2"/>
    </row>
    <row r="2619" spans="8:8" x14ac:dyDescent="0.25">
      <c r="H2619" s="2"/>
    </row>
    <row r="2620" spans="8:8" x14ac:dyDescent="0.25">
      <c r="H2620" s="2"/>
    </row>
    <row r="2621" spans="8:8" x14ac:dyDescent="0.25">
      <c r="H2621" s="2"/>
    </row>
    <row r="2622" spans="8:8" x14ac:dyDescent="0.25">
      <c r="H2622" s="2"/>
    </row>
    <row r="2623" spans="8:8" x14ac:dyDescent="0.25">
      <c r="H2623" s="2"/>
    </row>
    <row r="2624" spans="8:8" x14ac:dyDescent="0.25">
      <c r="H2624" s="2"/>
    </row>
    <row r="2625" spans="8:8" x14ac:dyDescent="0.25">
      <c r="H2625" s="2"/>
    </row>
    <row r="2626" spans="8:8" x14ac:dyDescent="0.25">
      <c r="H2626" s="2"/>
    </row>
    <row r="2627" spans="8:8" x14ac:dyDescent="0.25">
      <c r="H2627" s="2"/>
    </row>
    <row r="2628" spans="8:8" x14ac:dyDescent="0.25">
      <c r="H2628" s="2"/>
    </row>
    <row r="2629" spans="8:8" x14ac:dyDescent="0.25">
      <c r="H2629" s="2"/>
    </row>
    <row r="2630" spans="8:8" x14ac:dyDescent="0.25">
      <c r="H2630" s="2"/>
    </row>
    <row r="2631" spans="8:8" x14ac:dyDescent="0.25">
      <c r="H2631" s="2"/>
    </row>
    <row r="2632" spans="8:8" x14ac:dyDescent="0.25">
      <c r="H2632" s="2"/>
    </row>
    <row r="2633" spans="8:8" x14ac:dyDescent="0.25">
      <c r="H2633" s="2"/>
    </row>
    <row r="2634" spans="8:8" x14ac:dyDescent="0.25">
      <c r="H2634" s="2"/>
    </row>
    <row r="2635" spans="8:8" x14ac:dyDescent="0.25">
      <c r="H2635" s="2"/>
    </row>
    <row r="2636" spans="8:8" x14ac:dyDescent="0.25">
      <c r="H2636" s="2"/>
    </row>
    <row r="2637" spans="8:8" x14ac:dyDescent="0.25">
      <c r="H2637" s="2"/>
    </row>
    <row r="2638" spans="8:8" x14ac:dyDescent="0.25">
      <c r="H2638" s="2"/>
    </row>
    <row r="2639" spans="8:8" x14ac:dyDescent="0.25">
      <c r="H2639" s="2"/>
    </row>
    <row r="2640" spans="8:8" x14ac:dyDescent="0.25">
      <c r="H2640" s="2"/>
    </row>
    <row r="2641" spans="8:8" x14ac:dyDescent="0.25">
      <c r="H2641" s="2"/>
    </row>
    <row r="2642" spans="8:8" x14ac:dyDescent="0.25">
      <c r="H2642" s="2"/>
    </row>
    <row r="2643" spans="8:8" x14ac:dyDescent="0.25">
      <c r="H2643" s="2"/>
    </row>
    <row r="2644" spans="8:8" x14ac:dyDescent="0.25">
      <c r="H2644" s="2"/>
    </row>
    <row r="2645" spans="8:8" x14ac:dyDescent="0.25">
      <c r="H2645" s="2"/>
    </row>
    <row r="2646" spans="8:8" x14ac:dyDescent="0.25">
      <c r="H2646" s="2"/>
    </row>
    <row r="2647" spans="8:8" x14ac:dyDescent="0.25">
      <c r="H2647" s="2"/>
    </row>
    <row r="2648" spans="8:8" x14ac:dyDescent="0.25">
      <c r="H2648" s="2"/>
    </row>
    <row r="2649" spans="8:8" x14ac:dyDescent="0.25">
      <c r="H2649" s="2"/>
    </row>
    <row r="2650" spans="8:8" x14ac:dyDescent="0.25">
      <c r="H2650" s="2"/>
    </row>
    <row r="2651" spans="8:8" x14ac:dyDescent="0.25">
      <c r="H2651" s="2"/>
    </row>
    <row r="2652" spans="8:8" x14ac:dyDescent="0.25">
      <c r="H2652" s="2"/>
    </row>
    <row r="2653" spans="8:8" x14ac:dyDescent="0.25">
      <c r="H2653" s="2"/>
    </row>
    <row r="2654" spans="8:8" x14ac:dyDescent="0.25">
      <c r="H2654" s="2"/>
    </row>
    <row r="2655" spans="8:8" x14ac:dyDescent="0.25">
      <c r="H2655" s="2"/>
    </row>
    <row r="2656" spans="8:8" x14ac:dyDescent="0.25">
      <c r="H2656" s="2"/>
    </row>
    <row r="2657" spans="8:8" x14ac:dyDescent="0.25">
      <c r="H2657" s="2"/>
    </row>
    <row r="2658" spans="8:8" x14ac:dyDescent="0.25">
      <c r="H2658" s="2"/>
    </row>
    <row r="2659" spans="8:8" x14ac:dyDescent="0.25">
      <c r="H2659" s="2"/>
    </row>
    <row r="2660" spans="8:8" x14ac:dyDescent="0.25">
      <c r="H2660" s="2"/>
    </row>
    <row r="2661" spans="8:8" x14ac:dyDescent="0.25">
      <c r="H2661" s="2"/>
    </row>
    <row r="2662" spans="8:8" x14ac:dyDescent="0.25">
      <c r="H2662" s="2"/>
    </row>
    <row r="2663" spans="8:8" x14ac:dyDescent="0.25">
      <c r="H2663" s="2"/>
    </row>
    <row r="2664" spans="8:8" x14ac:dyDescent="0.25">
      <c r="H2664" s="2"/>
    </row>
    <row r="2665" spans="8:8" x14ac:dyDescent="0.25">
      <c r="H2665" s="2"/>
    </row>
    <row r="2666" spans="8:8" x14ac:dyDescent="0.25">
      <c r="H2666" s="2"/>
    </row>
    <row r="2667" spans="8:8" x14ac:dyDescent="0.25">
      <c r="H2667" s="2"/>
    </row>
    <row r="2668" spans="8:8" x14ac:dyDescent="0.25">
      <c r="H2668" s="2"/>
    </row>
    <row r="2669" spans="8:8" x14ac:dyDescent="0.25">
      <c r="H2669" s="2"/>
    </row>
    <row r="2670" spans="8:8" x14ac:dyDescent="0.25">
      <c r="H2670" s="2"/>
    </row>
    <row r="2671" spans="8:8" x14ac:dyDescent="0.25">
      <c r="H2671" s="2"/>
    </row>
    <row r="2672" spans="8:8" x14ac:dyDescent="0.25">
      <c r="H2672" s="2"/>
    </row>
    <row r="2673" spans="8:8" x14ac:dyDescent="0.25">
      <c r="H2673" s="2"/>
    </row>
    <row r="2674" spans="8:8" x14ac:dyDescent="0.25">
      <c r="H2674" s="2"/>
    </row>
    <row r="2675" spans="8:8" x14ac:dyDescent="0.25">
      <c r="H2675" s="2"/>
    </row>
    <row r="2676" spans="8:8" x14ac:dyDescent="0.25">
      <c r="H2676" s="2"/>
    </row>
    <row r="2677" spans="8:8" x14ac:dyDescent="0.25">
      <c r="H2677" s="2"/>
    </row>
    <row r="2678" spans="8:8" x14ac:dyDescent="0.25">
      <c r="H2678" s="2"/>
    </row>
    <row r="2679" spans="8:8" x14ac:dyDescent="0.25">
      <c r="H2679" s="2"/>
    </row>
    <row r="2680" spans="8:8" x14ac:dyDescent="0.25">
      <c r="H2680" s="2"/>
    </row>
    <row r="2681" spans="8:8" x14ac:dyDescent="0.25">
      <c r="H2681" s="2"/>
    </row>
    <row r="2682" spans="8:8" x14ac:dyDescent="0.25">
      <c r="H2682" s="2"/>
    </row>
    <row r="2683" spans="8:8" x14ac:dyDescent="0.25">
      <c r="H2683" s="2"/>
    </row>
    <row r="2684" spans="8:8" x14ac:dyDescent="0.25">
      <c r="H2684" s="2"/>
    </row>
    <row r="2685" spans="8:8" x14ac:dyDescent="0.25">
      <c r="H2685" s="2"/>
    </row>
    <row r="2686" spans="8:8" x14ac:dyDescent="0.25">
      <c r="H2686" s="2"/>
    </row>
    <row r="2687" spans="8:8" x14ac:dyDescent="0.25">
      <c r="H2687" s="2"/>
    </row>
    <row r="2688" spans="8:8" x14ac:dyDescent="0.25">
      <c r="H2688" s="2"/>
    </row>
    <row r="2689" spans="8:8" x14ac:dyDescent="0.25">
      <c r="H2689" s="2"/>
    </row>
    <row r="2690" spans="8:8" x14ac:dyDescent="0.25">
      <c r="H2690" s="2"/>
    </row>
    <row r="2691" spans="8:8" x14ac:dyDescent="0.25">
      <c r="H2691" s="2"/>
    </row>
    <row r="2692" spans="8:8" x14ac:dyDescent="0.25">
      <c r="H2692" s="2"/>
    </row>
    <row r="2693" spans="8:8" x14ac:dyDescent="0.25">
      <c r="H2693" s="2"/>
    </row>
    <row r="2694" spans="8:8" x14ac:dyDescent="0.25">
      <c r="H2694" s="2"/>
    </row>
    <row r="2695" spans="8:8" x14ac:dyDescent="0.25">
      <c r="H2695" s="2"/>
    </row>
    <row r="2696" spans="8:8" x14ac:dyDescent="0.25">
      <c r="H2696" s="2"/>
    </row>
    <row r="2697" spans="8:8" x14ac:dyDescent="0.25">
      <c r="H2697" s="2"/>
    </row>
    <row r="2698" spans="8:8" x14ac:dyDescent="0.25">
      <c r="H2698" s="2"/>
    </row>
    <row r="2699" spans="8:8" x14ac:dyDescent="0.25">
      <c r="H2699" s="2"/>
    </row>
    <row r="2700" spans="8:8" x14ac:dyDescent="0.25">
      <c r="H2700" s="2"/>
    </row>
    <row r="2701" spans="8:8" x14ac:dyDescent="0.25">
      <c r="H2701" s="2"/>
    </row>
    <row r="2702" spans="8:8" x14ac:dyDescent="0.25">
      <c r="H2702" s="2"/>
    </row>
    <row r="2703" spans="8:8" x14ac:dyDescent="0.25">
      <c r="H2703" s="2"/>
    </row>
    <row r="2704" spans="8:8" x14ac:dyDescent="0.25">
      <c r="H2704" s="2"/>
    </row>
    <row r="2705" spans="8:8" x14ac:dyDescent="0.25">
      <c r="H2705" s="2"/>
    </row>
    <row r="2706" spans="8:8" x14ac:dyDescent="0.25">
      <c r="H2706" s="2"/>
    </row>
    <row r="2707" spans="8:8" x14ac:dyDescent="0.25">
      <c r="H2707" s="2"/>
    </row>
    <row r="2708" spans="8:8" x14ac:dyDescent="0.25">
      <c r="H2708" s="2"/>
    </row>
    <row r="2709" spans="8:8" x14ac:dyDescent="0.25">
      <c r="H2709" s="2"/>
    </row>
    <row r="2710" spans="8:8" x14ac:dyDescent="0.25">
      <c r="H2710" s="2"/>
    </row>
    <row r="2711" spans="8:8" x14ac:dyDescent="0.25">
      <c r="H2711" s="2"/>
    </row>
    <row r="2712" spans="8:8" x14ac:dyDescent="0.25">
      <c r="H2712" s="2"/>
    </row>
    <row r="2713" spans="8:8" x14ac:dyDescent="0.25">
      <c r="H2713" s="2"/>
    </row>
    <row r="2714" spans="8:8" x14ac:dyDescent="0.25">
      <c r="H2714" s="2"/>
    </row>
    <row r="2715" spans="8:8" x14ac:dyDescent="0.25">
      <c r="H2715" s="2"/>
    </row>
    <row r="2716" spans="8:8" x14ac:dyDescent="0.25">
      <c r="H2716" s="2"/>
    </row>
    <row r="2717" spans="8:8" x14ac:dyDescent="0.25">
      <c r="H2717" s="2"/>
    </row>
    <row r="2718" spans="8:8" x14ac:dyDescent="0.25">
      <c r="H2718" s="2"/>
    </row>
    <row r="2719" spans="8:8" x14ac:dyDescent="0.25">
      <c r="H2719" s="2"/>
    </row>
    <row r="2720" spans="8:8" x14ac:dyDescent="0.25">
      <c r="H2720" s="2"/>
    </row>
    <row r="2721" spans="8:8" x14ac:dyDescent="0.25">
      <c r="H2721" s="2"/>
    </row>
    <row r="2722" spans="8:8" x14ac:dyDescent="0.25">
      <c r="H2722" s="2"/>
    </row>
    <row r="2723" spans="8:8" x14ac:dyDescent="0.25">
      <c r="H2723" s="2"/>
    </row>
    <row r="2724" spans="8:8" x14ac:dyDescent="0.25">
      <c r="H2724" s="2"/>
    </row>
    <row r="2725" spans="8:8" x14ac:dyDescent="0.25">
      <c r="H2725" s="2"/>
    </row>
    <row r="2726" spans="8:8" x14ac:dyDescent="0.25">
      <c r="H2726" s="2"/>
    </row>
    <row r="2727" spans="8:8" x14ac:dyDescent="0.25">
      <c r="H2727" s="2"/>
    </row>
    <row r="2728" spans="8:8" x14ac:dyDescent="0.25">
      <c r="H2728" s="2"/>
    </row>
    <row r="2729" spans="8:8" x14ac:dyDescent="0.25">
      <c r="H2729" s="2"/>
    </row>
    <row r="2730" spans="8:8" x14ac:dyDescent="0.25">
      <c r="H2730" s="2"/>
    </row>
    <row r="2731" spans="8:8" x14ac:dyDescent="0.25">
      <c r="H2731" s="2"/>
    </row>
    <row r="2732" spans="8:8" x14ac:dyDescent="0.25">
      <c r="H2732" s="2"/>
    </row>
    <row r="2733" spans="8:8" x14ac:dyDescent="0.25">
      <c r="H2733" s="2"/>
    </row>
    <row r="2734" spans="8:8" x14ac:dyDescent="0.25">
      <c r="H2734" s="2"/>
    </row>
    <row r="2735" spans="8:8" x14ac:dyDescent="0.25">
      <c r="H2735" s="2"/>
    </row>
    <row r="2736" spans="8:8" x14ac:dyDescent="0.25">
      <c r="H2736" s="2"/>
    </row>
    <row r="2737" spans="8:8" x14ac:dyDescent="0.25">
      <c r="H2737" s="2"/>
    </row>
    <row r="2738" spans="8:8" x14ac:dyDescent="0.25">
      <c r="H2738" s="2"/>
    </row>
    <row r="2739" spans="8:8" x14ac:dyDescent="0.25">
      <c r="H2739" s="2"/>
    </row>
    <row r="2740" spans="8:8" x14ac:dyDescent="0.25">
      <c r="H2740" s="2"/>
    </row>
    <row r="2741" spans="8:8" x14ac:dyDescent="0.25">
      <c r="H2741" s="2"/>
    </row>
    <row r="2742" spans="8:8" x14ac:dyDescent="0.25">
      <c r="H2742" s="2"/>
    </row>
    <row r="2743" spans="8:8" x14ac:dyDescent="0.25">
      <c r="H2743" s="2"/>
    </row>
    <row r="2744" spans="8:8" x14ac:dyDescent="0.25">
      <c r="H2744" s="2"/>
    </row>
    <row r="2745" spans="8:8" x14ac:dyDescent="0.25">
      <c r="H2745" s="2"/>
    </row>
    <row r="2746" spans="8:8" x14ac:dyDescent="0.25">
      <c r="H2746" s="2"/>
    </row>
    <row r="2747" spans="8:8" x14ac:dyDescent="0.25">
      <c r="H2747" s="2"/>
    </row>
    <row r="2748" spans="8:8" x14ac:dyDescent="0.25">
      <c r="H2748" s="2"/>
    </row>
    <row r="2749" spans="8:8" x14ac:dyDescent="0.25">
      <c r="H2749" s="2"/>
    </row>
    <row r="2750" spans="8:8" x14ac:dyDescent="0.25">
      <c r="H2750" s="2"/>
    </row>
    <row r="2751" spans="8:8" x14ac:dyDescent="0.25">
      <c r="H2751" s="2"/>
    </row>
    <row r="2752" spans="8:8" x14ac:dyDescent="0.25">
      <c r="H2752" s="2"/>
    </row>
    <row r="2753" spans="8:8" x14ac:dyDescent="0.25">
      <c r="H2753" s="2"/>
    </row>
    <row r="2754" spans="8:8" x14ac:dyDescent="0.25">
      <c r="H2754" s="2"/>
    </row>
    <row r="2755" spans="8:8" x14ac:dyDescent="0.25">
      <c r="H2755" s="2"/>
    </row>
    <row r="2756" spans="8:8" x14ac:dyDescent="0.25">
      <c r="H2756" s="2"/>
    </row>
    <row r="2757" spans="8:8" x14ac:dyDescent="0.25">
      <c r="H2757" s="2"/>
    </row>
    <row r="2758" spans="8:8" x14ac:dyDescent="0.25">
      <c r="H2758" s="2"/>
    </row>
    <row r="2759" spans="8:8" x14ac:dyDescent="0.25">
      <c r="H2759" s="2"/>
    </row>
    <row r="2760" spans="8:8" x14ac:dyDescent="0.25">
      <c r="H2760" s="2"/>
    </row>
    <row r="2761" spans="8:8" x14ac:dyDescent="0.25">
      <c r="H2761" s="2"/>
    </row>
    <row r="2762" spans="8:8" x14ac:dyDescent="0.25">
      <c r="H2762" s="2"/>
    </row>
    <row r="2763" spans="8:8" x14ac:dyDescent="0.25">
      <c r="H2763" s="2"/>
    </row>
    <row r="2764" spans="8:8" x14ac:dyDescent="0.25">
      <c r="H2764" s="2"/>
    </row>
    <row r="2765" spans="8:8" x14ac:dyDescent="0.25">
      <c r="H2765" s="2"/>
    </row>
    <row r="2766" spans="8:8" x14ac:dyDescent="0.25">
      <c r="H2766" s="2"/>
    </row>
    <row r="2767" spans="8:8" x14ac:dyDescent="0.25">
      <c r="H2767" s="2"/>
    </row>
    <row r="2768" spans="8:8" x14ac:dyDescent="0.25">
      <c r="H2768" s="2"/>
    </row>
    <row r="2769" spans="8:8" x14ac:dyDescent="0.25">
      <c r="H2769" s="2"/>
    </row>
    <row r="2770" spans="8:8" x14ac:dyDescent="0.25">
      <c r="H2770" s="2"/>
    </row>
    <row r="2771" spans="8:8" x14ac:dyDescent="0.25">
      <c r="H2771" s="2"/>
    </row>
    <row r="2772" spans="8:8" x14ac:dyDescent="0.25">
      <c r="H2772" s="2"/>
    </row>
    <row r="2773" spans="8:8" x14ac:dyDescent="0.25">
      <c r="H2773" s="2"/>
    </row>
    <row r="2774" spans="8:8" x14ac:dyDescent="0.25">
      <c r="H2774" s="2"/>
    </row>
    <row r="2775" spans="8:8" x14ac:dyDescent="0.25">
      <c r="H2775" s="2"/>
    </row>
    <row r="2776" spans="8:8" x14ac:dyDescent="0.25">
      <c r="H2776" s="2"/>
    </row>
    <row r="2777" spans="8:8" x14ac:dyDescent="0.25">
      <c r="H2777" s="2"/>
    </row>
    <row r="2778" spans="8:8" x14ac:dyDescent="0.25">
      <c r="H2778" s="2"/>
    </row>
    <row r="2779" spans="8:8" x14ac:dyDescent="0.25">
      <c r="H2779" s="2"/>
    </row>
    <row r="2780" spans="8:8" x14ac:dyDescent="0.25">
      <c r="H2780" s="2"/>
    </row>
    <row r="2781" spans="8:8" x14ac:dyDescent="0.25">
      <c r="H2781" s="2"/>
    </row>
    <row r="2782" spans="8:8" x14ac:dyDescent="0.25">
      <c r="H2782" s="2"/>
    </row>
    <row r="2783" spans="8:8" x14ac:dyDescent="0.25">
      <c r="H2783" s="2"/>
    </row>
    <row r="2784" spans="8:8" x14ac:dyDescent="0.25">
      <c r="H2784" s="2"/>
    </row>
    <row r="2785" spans="8:8" x14ac:dyDescent="0.25">
      <c r="H2785" s="2"/>
    </row>
    <row r="2786" spans="8:8" x14ac:dyDescent="0.25">
      <c r="H2786" s="2"/>
    </row>
    <row r="2787" spans="8:8" x14ac:dyDescent="0.25">
      <c r="H2787" s="2"/>
    </row>
    <row r="2788" spans="8:8" x14ac:dyDescent="0.25">
      <c r="H2788" s="2"/>
    </row>
    <row r="2789" spans="8:8" x14ac:dyDescent="0.25">
      <c r="H2789" s="2"/>
    </row>
    <row r="2790" spans="8:8" x14ac:dyDescent="0.25">
      <c r="H2790" s="2"/>
    </row>
    <row r="2791" spans="8:8" x14ac:dyDescent="0.25">
      <c r="H2791" s="2"/>
    </row>
    <row r="2792" spans="8:8" x14ac:dyDescent="0.25">
      <c r="H2792" s="2"/>
    </row>
    <row r="2793" spans="8:8" x14ac:dyDescent="0.25">
      <c r="H2793" s="2"/>
    </row>
    <row r="2794" spans="8:8" x14ac:dyDescent="0.25">
      <c r="H2794" s="2"/>
    </row>
    <row r="2795" spans="8:8" x14ac:dyDescent="0.25">
      <c r="H2795" s="2"/>
    </row>
    <row r="2796" spans="8:8" x14ac:dyDescent="0.25">
      <c r="H2796" s="2"/>
    </row>
    <row r="2797" spans="8:8" x14ac:dyDescent="0.25">
      <c r="H2797" s="2"/>
    </row>
    <row r="2798" spans="8:8" x14ac:dyDescent="0.25">
      <c r="H2798" s="2"/>
    </row>
    <row r="2799" spans="8:8" x14ac:dyDescent="0.25">
      <c r="H2799" s="2"/>
    </row>
    <row r="2800" spans="8:8" x14ac:dyDescent="0.25">
      <c r="H2800" s="2"/>
    </row>
    <row r="2801" spans="8:8" x14ac:dyDescent="0.25">
      <c r="H2801" s="2"/>
    </row>
    <row r="2802" spans="8:8" x14ac:dyDescent="0.25">
      <c r="H2802" s="2"/>
    </row>
    <row r="2803" spans="8:8" x14ac:dyDescent="0.25">
      <c r="H2803" s="2"/>
    </row>
    <row r="2804" spans="8:8" x14ac:dyDescent="0.25">
      <c r="H2804" s="2"/>
    </row>
    <row r="2805" spans="8:8" x14ac:dyDescent="0.25">
      <c r="H2805" s="2"/>
    </row>
    <row r="2806" spans="8:8" x14ac:dyDescent="0.25">
      <c r="H2806" s="2"/>
    </row>
    <row r="2807" spans="8:8" x14ac:dyDescent="0.25">
      <c r="H2807" s="2"/>
    </row>
    <row r="2808" spans="8:8" x14ac:dyDescent="0.25">
      <c r="H2808" s="2"/>
    </row>
    <row r="2809" spans="8:8" x14ac:dyDescent="0.25">
      <c r="H2809" s="2"/>
    </row>
    <row r="2810" spans="8:8" x14ac:dyDescent="0.25">
      <c r="H2810" s="2"/>
    </row>
    <row r="2811" spans="8:8" x14ac:dyDescent="0.25">
      <c r="H2811" s="2"/>
    </row>
    <row r="2812" spans="8:8" x14ac:dyDescent="0.25">
      <c r="H2812" s="2"/>
    </row>
    <row r="2813" spans="8:8" x14ac:dyDescent="0.25">
      <c r="H2813" s="2"/>
    </row>
    <row r="2814" spans="8:8" x14ac:dyDescent="0.25">
      <c r="H2814" s="2"/>
    </row>
    <row r="2815" spans="8:8" x14ac:dyDescent="0.25">
      <c r="H2815" s="2"/>
    </row>
    <row r="2816" spans="8:8" x14ac:dyDescent="0.25">
      <c r="H2816" s="2"/>
    </row>
    <row r="2817" spans="8:8" x14ac:dyDescent="0.25">
      <c r="H2817" s="2"/>
    </row>
    <row r="2818" spans="8:8" x14ac:dyDescent="0.25">
      <c r="H2818" s="2"/>
    </row>
    <row r="2819" spans="8:8" x14ac:dyDescent="0.25">
      <c r="H2819" s="2"/>
    </row>
    <row r="2820" spans="8:8" x14ac:dyDescent="0.25">
      <c r="H2820" s="2"/>
    </row>
    <row r="2821" spans="8:8" x14ac:dyDescent="0.25">
      <c r="H2821" s="2"/>
    </row>
    <row r="2822" spans="8:8" x14ac:dyDescent="0.25">
      <c r="H2822" s="2"/>
    </row>
    <row r="2823" spans="8:8" x14ac:dyDescent="0.25">
      <c r="H2823" s="2"/>
    </row>
    <row r="2824" spans="8:8" x14ac:dyDescent="0.25">
      <c r="H2824" s="2"/>
    </row>
    <row r="2825" spans="8:8" x14ac:dyDescent="0.25">
      <c r="H2825" s="2"/>
    </row>
    <row r="2826" spans="8:8" x14ac:dyDescent="0.25">
      <c r="H2826" s="2"/>
    </row>
    <row r="2827" spans="8:8" x14ac:dyDescent="0.25">
      <c r="H2827" s="2"/>
    </row>
    <row r="2828" spans="8:8" x14ac:dyDescent="0.25">
      <c r="H2828" s="2"/>
    </row>
    <row r="3231" spans="8:8" x14ac:dyDescent="0.25">
      <c r="H3231" s="2"/>
    </row>
    <row r="3232" spans="8:8" x14ac:dyDescent="0.25">
      <c r="H3232" s="2"/>
    </row>
    <row r="3233" spans="8:8" x14ac:dyDescent="0.25">
      <c r="H3233" s="2"/>
    </row>
    <row r="3234" spans="8:8" x14ac:dyDescent="0.25">
      <c r="H3234" s="2"/>
    </row>
    <row r="3235" spans="8:8" x14ac:dyDescent="0.25">
      <c r="H3235" s="2"/>
    </row>
    <row r="3236" spans="8:8" x14ac:dyDescent="0.25">
      <c r="H3236" s="2"/>
    </row>
    <row r="3237" spans="8:8" x14ac:dyDescent="0.25">
      <c r="H3237" s="2"/>
    </row>
    <row r="3238" spans="8:8" x14ac:dyDescent="0.25">
      <c r="H3238" s="2"/>
    </row>
    <row r="3239" spans="8:8" x14ac:dyDescent="0.25">
      <c r="H3239" s="2"/>
    </row>
    <row r="3240" spans="8:8" x14ac:dyDescent="0.25">
      <c r="H3240" s="2"/>
    </row>
    <row r="3241" spans="8:8" x14ac:dyDescent="0.25">
      <c r="H3241" s="2"/>
    </row>
    <row r="3242" spans="8:8" x14ac:dyDescent="0.25">
      <c r="H3242" s="2"/>
    </row>
    <row r="3243" spans="8:8" x14ac:dyDescent="0.25">
      <c r="H3243" s="2"/>
    </row>
    <row r="3244" spans="8:8" x14ac:dyDescent="0.25">
      <c r="H3244" s="2"/>
    </row>
    <row r="3245" spans="8:8" x14ac:dyDescent="0.25">
      <c r="H3245" s="2"/>
    </row>
    <row r="3246" spans="8:8" x14ac:dyDescent="0.25">
      <c r="H3246" s="2"/>
    </row>
    <row r="3247" spans="8:8" x14ac:dyDescent="0.25">
      <c r="H3247" s="2"/>
    </row>
    <row r="3248" spans="8:8" x14ac:dyDescent="0.25">
      <c r="H3248" s="2"/>
    </row>
    <row r="3249" spans="8:8" x14ac:dyDescent="0.25">
      <c r="H3249" s="2"/>
    </row>
    <row r="3250" spans="8:8" x14ac:dyDescent="0.25">
      <c r="H3250" s="2"/>
    </row>
    <row r="3251" spans="8:8" x14ac:dyDescent="0.25">
      <c r="H3251" s="2"/>
    </row>
    <row r="3252" spans="8:8" x14ac:dyDescent="0.25">
      <c r="H3252" s="2"/>
    </row>
    <row r="3253" spans="8:8" x14ac:dyDescent="0.25">
      <c r="H3253" s="2"/>
    </row>
    <row r="3254" spans="8:8" x14ac:dyDescent="0.25">
      <c r="H3254" s="2"/>
    </row>
    <row r="3255" spans="8:8" x14ac:dyDescent="0.25">
      <c r="H3255" s="2"/>
    </row>
    <row r="3256" spans="8:8" x14ac:dyDescent="0.25">
      <c r="H3256" s="2"/>
    </row>
    <row r="3257" spans="8:8" x14ac:dyDescent="0.25">
      <c r="H3257" s="2"/>
    </row>
    <row r="3258" spans="8:8" x14ac:dyDescent="0.25">
      <c r="H3258" s="2"/>
    </row>
    <row r="3259" spans="8:8" x14ac:dyDescent="0.25">
      <c r="H3259" s="2"/>
    </row>
    <row r="3260" spans="8:8" x14ac:dyDescent="0.25">
      <c r="H3260" s="2"/>
    </row>
    <row r="3261" spans="8:8" x14ac:dyDescent="0.25">
      <c r="H3261" s="2"/>
    </row>
    <row r="3262" spans="8:8" x14ac:dyDescent="0.25">
      <c r="H3262" s="2"/>
    </row>
    <row r="3263" spans="8:8" x14ac:dyDescent="0.25">
      <c r="H3263" s="2"/>
    </row>
    <row r="3264" spans="8:8" x14ac:dyDescent="0.25">
      <c r="H3264" s="2"/>
    </row>
    <row r="3265" spans="8:8" x14ac:dyDescent="0.25">
      <c r="H3265" s="2"/>
    </row>
    <row r="3266" spans="8:8" x14ac:dyDescent="0.25">
      <c r="H3266" s="2"/>
    </row>
    <row r="3267" spans="8:8" x14ac:dyDescent="0.25">
      <c r="H3267" s="2"/>
    </row>
    <row r="3268" spans="8:8" x14ac:dyDescent="0.25">
      <c r="H3268" s="2"/>
    </row>
    <row r="3269" spans="8:8" x14ac:dyDescent="0.25">
      <c r="H3269" s="2"/>
    </row>
    <row r="3270" spans="8:8" x14ac:dyDescent="0.25">
      <c r="H3270" s="2"/>
    </row>
    <row r="3271" spans="8:8" x14ac:dyDescent="0.25">
      <c r="H3271" s="2"/>
    </row>
    <row r="3272" spans="8:8" x14ac:dyDescent="0.25">
      <c r="H3272" s="2"/>
    </row>
    <row r="3273" spans="8:8" x14ac:dyDescent="0.25">
      <c r="H3273" s="2"/>
    </row>
    <row r="3274" spans="8:8" x14ac:dyDescent="0.25">
      <c r="H3274" s="2"/>
    </row>
    <row r="3275" spans="8:8" x14ac:dyDescent="0.25">
      <c r="H3275" s="2"/>
    </row>
    <row r="3276" spans="8:8" x14ac:dyDescent="0.25">
      <c r="H3276" s="2"/>
    </row>
    <row r="3277" spans="8:8" x14ac:dyDescent="0.25">
      <c r="H3277" s="2"/>
    </row>
    <row r="3278" spans="8:8" x14ac:dyDescent="0.25">
      <c r="H3278" s="2"/>
    </row>
    <row r="3279" spans="8:8" x14ac:dyDescent="0.25">
      <c r="H3279" s="2"/>
    </row>
    <row r="3280" spans="8:8" x14ac:dyDescent="0.25">
      <c r="H3280" s="2"/>
    </row>
    <row r="3281" spans="8:8" x14ac:dyDescent="0.25">
      <c r="H3281" s="2"/>
    </row>
    <row r="3282" spans="8:8" x14ac:dyDescent="0.25">
      <c r="H3282" s="2"/>
    </row>
    <row r="3283" spans="8:8" x14ac:dyDescent="0.25">
      <c r="H3283" s="2"/>
    </row>
    <row r="3284" spans="8:8" x14ac:dyDescent="0.25">
      <c r="H3284" s="2"/>
    </row>
    <row r="3285" spans="8:8" x14ac:dyDescent="0.25">
      <c r="H3285" s="2"/>
    </row>
    <row r="3286" spans="8:8" x14ac:dyDescent="0.25">
      <c r="H3286" s="2"/>
    </row>
    <row r="3287" spans="8:8" x14ac:dyDescent="0.25">
      <c r="H3287" s="2"/>
    </row>
    <row r="3288" spans="8:8" x14ac:dyDescent="0.25">
      <c r="H3288" s="2"/>
    </row>
    <row r="3289" spans="8:8" x14ac:dyDescent="0.25">
      <c r="H3289" s="2"/>
    </row>
    <row r="3290" spans="8:8" x14ac:dyDescent="0.25">
      <c r="H3290" s="2"/>
    </row>
    <row r="3291" spans="8:8" x14ac:dyDescent="0.25">
      <c r="H3291" s="2"/>
    </row>
    <row r="3292" spans="8:8" x14ac:dyDescent="0.25">
      <c r="H3292" s="2"/>
    </row>
    <row r="3293" spans="8:8" x14ac:dyDescent="0.25">
      <c r="H3293" s="2"/>
    </row>
    <row r="3294" spans="8:8" x14ac:dyDescent="0.25">
      <c r="H3294" s="2"/>
    </row>
    <row r="3295" spans="8:8" x14ac:dyDescent="0.25">
      <c r="H3295" s="2"/>
    </row>
    <row r="3296" spans="8:8" x14ac:dyDescent="0.25">
      <c r="H3296" s="2"/>
    </row>
    <row r="3297" spans="8:8" x14ac:dyDescent="0.25">
      <c r="H3297" s="2"/>
    </row>
    <row r="3298" spans="8:8" x14ac:dyDescent="0.25">
      <c r="H3298" s="2"/>
    </row>
    <row r="3299" spans="8:8" x14ac:dyDescent="0.25">
      <c r="H3299" s="2"/>
    </row>
    <row r="3300" spans="8:8" x14ac:dyDescent="0.25">
      <c r="H3300" s="2"/>
    </row>
    <row r="3301" spans="8:8" x14ac:dyDescent="0.25">
      <c r="H3301" s="2"/>
    </row>
    <row r="3302" spans="8:8" x14ac:dyDescent="0.25">
      <c r="H3302" s="2"/>
    </row>
    <row r="3303" spans="8:8" x14ac:dyDescent="0.25">
      <c r="H3303" s="2"/>
    </row>
    <row r="3304" spans="8:8" x14ac:dyDescent="0.25">
      <c r="H3304" s="2"/>
    </row>
    <row r="3305" spans="8:8" x14ac:dyDescent="0.25">
      <c r="H3305" s="2"/>
    </row>
    <row r="3306" spans="8:8" x14ac:dyDescent="0.25">
      <c r="H3306" s="2"/>
    </row>
    <row r="3307" spans="8:8" x14ac:dyDescent="0.25">
      <c r="H3307" s="2"/>
    </row>
    <row r="3308" spans="8:8" x14ac:dyDescent="0.25">
      <c r="H3308" s="2"/>
    </row>
    <row r="3309" spans="8:8" x14ac:dyDescent="0.25">
      <c r="H3309" s="2"/>
    </row>
    <row r="3310" spans="8:8" x14ac:dyDescent="0.25">
      <c r="H3310" s="2"/>
    </row>
    <row r="3311" spans="8:8" x14ac:dyDescent="0.25">
      <c r="H3311" s="2"/>
    </row>
    <row r="3312" spans="8:8" x14ac:dyDescent="0.25">
      <c r="H3312" s="2"/>
    </row>
    <row r="3313" spans="8:8" x14ac:dyDescent="0.25">
      <c r="H3313" s="2"/>
    </row>
    <row r="3314" spans="8:8" x14ac:dyDescent="0.25">
      <c r="H3314" s="2"/>
    </row>
    <row r="3315" spans="8:8" x14ac:dyDescent="0.25">
      <c r="H3315" s="2"/>
    </row>
    <row r="3316" spans="8:8" x14ac:dyDescent="0.25">
      <c r="H3316" s="2"/>
    </row>
    <row r="3317" spans="8:8" x14ac:dyDescent="0.25">
      <c r="H3317" s="2"/>
    </row>
    <row r="3318" spans="8:8" x14ac:dyDescent="0.25">
      <c r="H3318" s="2"/>
    </row>
    <row r="3319" spans="8:8" x14ac:dyDescent="0.25">
      <c r="H3319" s="2"/>
    </row>
    <row r="3320" spans="8:8" x14ac:dyDescent="0.25">
      <c r="H3320" s="2"/>
    </row>
    <row r="3321" spans="8:8" x14ac:dyDescent="0.25">
      <c r="H3321" s="2"/>
    </row>
    <row r="3322" spans="8:8" x14ac:dyDescent="0.25">
      <c r="H3322" s="2"/>
    </row>
    <row r="3323" spans="8:8" x14ac:dyDescent="0.25">
      <c r="H3323" s="2"/>
    </row>
    <row r="3324" spans="8:8" x14ac:dyDescent="0.25">
      <c r="H3324" s="2"/>
    </row>
    <row r="3325" spans="8:8" x14ac:dyDescent="0.25">
      <c r="H3325" s="2"/>
    </row>
    <row r="3326" spans="8:8" x14ac:dyDescent="0.25">
      <c r="H3326" s="2"/>
    </row>
    <row r="3327" spans="8:8" x14ac:dyDescent="0.25">
      <c r="H3327" s="2"/>
    </row>
    <row r="3328" spans="8:8" x14ac:dyDescent="0.25">
      <c r="H3328" s="2"/>
    </row>
    <row r="3329" spans="8:8" x14ac:dyDescent="0.25">
      <c r="H3329" s="2"/>
    </row>
    <row r="3330" spans="8:8" x14ac:dyDescent="0.25">
      <c r="H3330" s="2"/>
    </row>
    <row r="3331" spans="8:8" x14ac:dyDescent="0.25">
      <c r="H3331" s="2"/>
    </row>
    <row r="3332" spans="8:8" x14ac:dyDescent="0.25">
      <c r="H3332" s="2"/>
    </row>
    <row r="3333" spans="8:8" x14ac:dyDescent="0.25">
      <c r="H3333" s="2"/>
    </row>
    <row r="3334" spans="8:8" x14ac:dyDescent="0.25">
      <c r="H3334" s="2"/>
    </row>
    <row r="3335" spans="8:8" x14ac:dyDescent="0.25">
      <c r="H3335" s="2"/>
    </row>
    <row r="3336" spans="8:8" x14ac:dyDescent="0.25">
      <c r="H3336" s="2"/>
    </row>
    <row r="3337" spans="8:8" x14ac:dyDescent="0.25">
      <c r="H3337" s="2"/>
    </row>
    <row r="3338" spans="8:8" x14ac:dyDescent="0.25">
      <c r="H3338" s="2"/>
    </row>
    <row r="3339" spans="8:8" x14ac:dyDescent="0.25">
      <c r="H3339" s="2"/>
    </row>
    <row r="3340" spans="8:8" x14ac:dyDescent="0.25">
      <c r="H3340" s="2"/>
    </row>
    <row r="3341" spans="8:8" x14ac:dyDescent="0.25">
      <c r="H3341" s="2"/>
    </row>
    <row r="3342" spans="8:8" x14ac:dyDescent="0.25">
      <c r="H3342" s="2"/>
    </row>
    <row r="3343" spans="8:8" x14ac:dyDescent="0.25">
      <c r="H3343" s="2"/>
    </row>
    <row r="3344" spans="8:8" x14ac:dyDescent="0.25">
      <c r="H3344" s="2"/>
    </row>
    <row r="3345" spans="8:8" x14ac:dyDescent="0.25">
      <c r="H3345" s="2"/>
    </row>
    <row r="3346" spans="8:8" x14ac:dyDescent="0.25">
      <c r="H3346" s="2"/>
    </row>
    <row r="3347" spans="8:8" x14ac:dyDescent="0.25">
      <c r="H3347" s="2"/>
    </row>
    <row r="3348" spans="8:8" x14ac:dyDescent="0.25">
      <c r="H3348" s="2"/>
    </row>
    <row r="3349" spans="8:8" x14ac:dyDescent="0.25">
      <c r="H3349" s="2"/>
    </row>
    <row r="3350" spans="8:8" x14ac:dyDescent="0.25">
      <c r="H3350" s="2"/>
    </row>
    <row r="3351" spans="8:8" x14ac:dyDescent="0.25">
      <c r="H3351" s="2"/>
    </row>
    <row r="3352" spans="8:8" x14ac:dyDescent="0.25">
      <c r="H3352" s="2"/>
    </row>
    <row r="3353" spans="8:8" x14ac:dyDescent="0.25">
      <c r="H3353" s="2"/>
    </row>
    <row r="3354" spans="8:8" x14ac:dyDescent="0.25">
      <c r="H3354" s="2"/>
    </row>
    <row r="3355" spans="8:8" x14ac:dyDescent="0.25">
      <c r="H3355" s="2"/>
    </row>
    <row r="3356" spans="8:8" x14ac:dyDescent="0.25">
      <c r="H3356" s="2"/>
    </row>
    <row r="3357" spans="8:8" x14ac:dyDescent="0.25">
      <c r="H3357" s="2"/>
    </row>
    <row r="3358" spans="8:8" x14ac:dyDescent="0.25">
      <c r="H3358" s="2"/>
    </row>
    <row r="3359" spans="8:8" x14ac:dyDescent="0.25">
      <c r="H3359" s="2"/>
    </row>
    <row r="3360" spans="8:8" x14ac:dyDescent="0.25">
      <c r="H3360" s="2"/>
    </row>
    <row r="3361" spans="8:8" x14ac:dyDescent="0.25">
      <c r="H3361" s="2"/>
    </row>
    <row r="3362" spans="8:8" x14ac:dyDescent="0.25">
      <c r="H3362" s="2"/>
    </row>
    <row r="3363" spans="8:8" x14ac:dyDescent="0.25">
      <c r="H3363" s="2"/>
    </row>
    <row r="3364" spans="8:8" x14ac:dyDescent="0.25">
      <c r="H3364" s="2"/>
    </row>
    <row r="3365" spans="8:8" x14ac:dyDescent="0.25">
      <c r="H3365" s="2"/>
    </row>
    <row r="3366" spans="8:8" x14ac:dyDescent="0.25">
      <c r="H3366" s="2"/>
    </row>
    <row r="3367" spans="8:8" x14ac:dyDescent="0.25">
      <c r="H3367" s="2"/>
    </row>
    <row r="3368" spans="8:8" x14ac:dyDescent="0.25">
      <c r="H3368" s="2"/>
    </row>
    <row r="3369" spans="8:8" x14ac:dyDescent="0.25">
      <c r="H3369" s="2"/>
    </row>
    <row r="3370" spans="8:8" x14ac:dyDescent="0.25">
      <c r="H3370" s="2"/>
    </row>
    <row r="3371" spans="8:8" x14ac:dyDescent="0.25">
      <c r="H3371" s="2"/>
    </row>
    <row r="3372" spans="8:8" x14ac:dyDescent="0.25">
      <c r="H3372" s="2"/>
    </row>
    <row r="3373" spans="8:8" x14ac:dyDescent="0.25">
      <c r="H3373" s="2"/>
    </row>
    <row r="3374" spans="8:8" x14ac:dyDescent="0.25">
      <c r="H3374" s="2"/>
    </row>
    <row r="3375" spans="8:8" x14ac:dyDescent="0.25">
      <c r="H3375" s="2"/>
    </row>
    <row r="3376" spans="8:8" x14ac:dyDescent="0.25">
      <c r="H3376" s="2"/>
    </row>
    <row r="3377" spans="8:8" x14ac:dyDescent="0.25">
      <c r="H3377" s="2"/>
    </row>
    <row r="3378" spans="8:8" x14ac:dyDescent="0.25">
      <c r="H3378" s="2"/>
    </row>
    <row r="3379" spans="8:8" x14ac:dyDescent="0.25">
      <c r="H3379" s="2"/>
    </row>
    <row r="3380" spans="8:8" x14ac:dyDescent="0.25">
      <c r="H3380" s="2"/>
    </row>
    <row r="3381" spans="8:8" x14ac:dyDescent="0.25">
      <c r="H3381" s="2"/>
    </row>
    <row r="3382" spans="8:8" x14ac:dyDescent="0.25">
      <c r="H3382" s="2"/>
    </row>
    <row r="3383" spans="8:8" x14ac:dyDescent="0.25">
      <c r="H3383" s="2"/>
    </row>
    <row r="3384" spans="8:8" x14ac:dyDescent="0.25">
      <c r="H3384" s="2"/>
    </row>
    <row r="3385" spans="8:8" x14ac:dyDescent="0.25">
      <c r="H3385" s="2"/>
    </row>
    <row r="3386" spans="8:8" x14ac:dyDescent="0.25">
      <c r="H3386" s="2"/>
    </row>
    <row r="3387" spans="8:8" x14ac:dyDescent="0.25">
      <c r="H3387" s="2"/>
    </row>
    <row r="3388" spans="8:8" x14ac:dyDescent="0.25">
      <c r="H3388" s="2"/>
    </row>
    <row r="3389" spans="8:8" x14ac:dyDescent="0.25">
      <c r="H3389" s="2"/>
    </row>
    <row r="3390" spans="8:8" x14ac:dyDescent="0.25">
      <c r="H3390" s="2"/>
    </row>
    <row r="3391" spans="8:8" x14ac:dyDescent="0.25">
      <c r="H3391" s="2"/>
    </row>
    <row r="3392" spans="8:8" x14ac:dyDescent="0.25">
      <c r="H3392" s="2"/>
    </row>
    <row r="3393" spans="8:8" x14ac:dyDescent="0.25">
      <c r="H3393" s="2"/>
    </row>
    <row r="3394" spans="8:8" x14ac:dyDescent="0.25">
      <c r="H3394" s="2"/>
    </row>
    <row r="3395" spans="8:8" x14ac:dyDescent="0.25">
      <c r="H3395" s="2"/>
    </row>
    <row r="3396" spans="8:8" x14ac:dyDescent="0.25">
      <c r="H3396" s="2"/>
    </row>
    <row r="3397" spans="8:8" x14ac:dyDescent="0.25">
      <c r="H3397" s="2"/>
    </row>
    <row r="3398" spans="8:8" x14ac:dyDescent="0.25">
      <c r="H3398" s="2"/>
    </row>
    <row r="3399" spans="8:8" x14ac:dyDescent="0.25">
      <c r="H3399" s="2"/>
    </row>
    <row r="3400" spans="8:8" x14ac:dyDescent="0.25">
      <c r="H3400" s="2"/>
    </row>
    <row r="3401" spans="8:8" x14ac:dyDescent="0.25">
      <c r="H3401" s="2"/>
    </row>
    <row r="3402" spans="8:8" x14ac:dyDescent="0.25">
      <c r="H3402" s="2"/>
    </row>
    <row r="3403" spans="8:8" x14ac:dyDescent="0.25">
      <c r="H3403" s="2"/>
    </row>
    <row r="3404" spans="8:8" x14ac:dyDescent="0.25">
      <c r="H3404" s="2"/>
    </row>
    <row r="3405" spans="8:8" x14ac:dyDescent="0.25">
      <c r="H3405" s="2"/>
    </row>
    <row r="3406" spans="8:8" x14ac:dyDescent="0.25">
      <c r="H3406" s="2"/>
    </row>
    <row r="3407" spans="8:8" x14ac:dyDescent="0.25">
      <c r="H3407" s="2"/>
    </row>
    <row r="3408" spans="8:8" x14ac:dyDescent="0.25">
      <c r="H3408" s="2"/>
    </row>
    <row r="3409" spans="8:8" x14ac:dyDescent="0.25">
      <c r="H3409" s="2"/>
    </row>
    <row r="3410" spans="8:8" x14ac:dyDescent="0.25">
      <c r="H3410" s="2"/>
    </row>
    <row r="3411" spans="8:8" x14ac:dyDescent="0.25">
      <c r="H3411" s="2"/>
    </row>
    <row r="3412" spans="8:8" x14ac:dyDescent="0.25">
      <c r="H3412" s="2"/>
    </row>
    <row r="3413" spans="8:8" x14ac:dyDescent="0.25">
      <c r="H3413" s="2"/>
    </row>
    <row r="3414" spans="8:8" x14ac:dyDescent="0.25">
      <c r="H3414" s="2"/>
    </row>
    <row r="3415" spans="8:8" x14ac:dyDescent="0.25">
      <c r="H3415" s="2"/>
    </row>
    <row r="3416" spans="8:8" x14ac:dyDescent="0.25">
      <c r="H3416" s="2"/>
    </row>
    <row r="3417" spans="8:8" x14ac:dyDescent="0.25">
      <c r="H3417" s="2"/>
    </row>
    <row r="3418" spans="8:8" x14ac:dyDescent="0.25">
      <c r="H3418" s="2"/>
    </row>
    <row r="3419" spans="8:8" x14ac:dyDescent="0.25">
      <c r="H3419" s="2"/>
    </row>
    <row r="3420" spans="8:8" x14ac:dyDescent="0.25">
      <c r="H3420" s="2"/>
    </row>
    <row r="3421" spans="8:8" x14ac:dyDescent="0.25">
      <c r="H3421" s="2"/>
    </row>
    <row r="3422" spans="8:8" x14ac:dyDescent="0.25">
      <c r="H3422" s="2"/>
    </row>
    <row r="3423" spans="8:8" x14ac:dyDescent="0.25">
      <c r="H3423" s="2"/>
    </row>
    <row r="3424" spans="8:8" x14ac:dyDescent="0.25">
      <c r="H3424" s="2"/>
    </row>
    <row r="3425" spans="8:8" x14ac:dyDescent="0.25">
      <c r="H3425" s="2"/>
    </row>
    <row r="3426" spans="8:8" x14ac:dyDescent="0.25">
      <c r="H3426" s="2"/>
    </row>
    <row r="3427" spans="8:8" x14ac:dyDescent="0.25">
      <c r="H3427" s="2"/>
    </row>
    <row r="3428" spans="8:8" x14ac:dyDescent="0.25">
      <c r="H3428" s="2"/>
    </row>
    <row r="3429" spans="8:8" x14ac:dyDescent="0.25">
      <c r="H3429" s="2"/>
    </row>
    <row r="3430" spans="8:8" x14ac:dyDescent="0.25">
      <c r="H3430" s="2"/>
    </row>
    <row r="3431" spans="8:8" x14ac:dyDescent="0.25">
      <c r="H3431" s="2"/>
    </row>
    <row r="3432" spans="8:8" x14ac:dyDescent="0.25">
      <c r="H3432" s="2"/>
    </row>
    <row r="3433" spans="8:8" x14ac:dyDescent="0.25">
      <c r="H3433" s="2"/>
    </row>
    <row r="3434" spans="8:8" x14ac:dyDescent="0.25">
      <c r="H3434" s="2"/>
    </row>
    <row r="3435" spans="8:8" x14ac:dyDescent="0.25">
      <c r="H3435" s="2"/>
    </row>
    <row r="3436" spans="8:8" x14ac:dyDescent="0.25">
      <c r="H3436" s="2"/>
    </row>
    <row r="3437" spans="8:8" x14ac:dyDescent="0.25">
      <c r="H3437" s="2"/>
    </row>
    <row r="3438" spans="8:8" x14ac:dyDescent="0.25">
      <c r="H3438" s="2"/>
    </row>
    <row r="3439" spans="8:8" x14ac:dyDescent="0.25">
      <c r="H3439" s="2"/>
    </row>
    <row r="3440" spans="8:8" x14ac:dyDescent="0.25">
      <c r="H3440" s="2"/>
    </row>
    <row r="3441" spans="8:8" x14ac:dyDescent="0.25">
      <c r="H3441" s="2"/>
    </row>
    <row r="3442" spans="8:8" x14ac:dyDescent="0.25">
      <c r="H3442" s="2"/>
    </row>
    <row r="3443" spans="8:8" x14ac:dyDescent="0.25">
      <c r="H3443" s="2"/>
    </row>
    <row r="3444" spans="8:8" x14ac:dyDescent="0.25">
      <c r="H3444" s="2"/>
    </row>
    <row r="3445" spans="8:8" x14ac:dyDescent="0.25">
      <c r="H3445" s="2"/>
    </row>
    <row r="3446" spans="8:8" x14ac:dyDescent="0.25">
      <c r="H3446" s="2"/>
    </row>
    <row r="3447" spans="8:8" x14ac:dyDescent="0.25">
      <c r="H3447" s="2"/>
    </row>
    <row r="3448" spans="8:8" x14ac:dyDescent="0.25">
      <c r="H3448" s="2"/>
    </row>
    <row r="3449" spans="8:8" x14ac:dyDescent="0.25">
      <c r="H3449" s="2"/>
    </row>
    <row r="3450" spans="8:8" x14ac:dyDescent="0.25">
      <c r="H3450" s="2"/>
    </row>
    <row r="3451" spans="8:8" x14ac:dyDescent="0.25">
      <c r="H3451" s="2"/>
    </row>
    <row r="3452" spans="8:8" x14ac:dyDescent="0.25">
      <c r="H3452" s="2"/>
    </row>
    <row r="3453" spans="8:8" x14ac:dyDescent="0.25">
      <c r="H3453" s="2"/>
    </row>
    <row r="3454" spans="8:8" x14ac:dyDescent="0.25">
      <c r="H3454" s="2"/>
    </row>
    <row r="3455" spans="8:8" x14ac:dyDescent="0.25">
      <c r="H3455" s="2"/>
    </row>
    <row r="3456" spans="8:8" x14ac:dyDescent="0.25">
      <c r="H3456" s="2"/>
    </row>
    <row r="3457" spans="8:8" x14ac:dyDescent="0.25">
      <c r="H3457" s="2"/>
    </row>
    <row r="3458" spans="8:8" x14ac:dyDescent="0.25">
      <c r="H3458" s="2"/>
    </row>
    <row r="3459" spans="8:8" x14ac:dyDescent="0.25">
      <c r="H3459" s="2"/>
    </row>
    <row r="3460" spans="8:8" x14ac:dyDescent="0.25">
      <c r="H3460" s="2"/>
    </row>
    <row r="3461" spans="8:8" x14ac:dyDescent="0.25">
      <c r="H3461" s="2"/>
    </row>
    <row r="3462" spans="8:8" x14ac:dyDescent="0.25">
      <c r="H3462" s="2"/>
    </row>
    <row r="3463" spans="8:8" x14ac:dyDescent="0.25">
      <c r="H3463" s="2"/>
    </row>
    <row r="3464" spans="8:8" x14ac:dyDescent="0.25">
      <c r="H3464" s="2"/>
    </row>
    <row r="3465" spans="8:8" x14ac:dyDescent="0.25">
      <c r="H3465" s="2"/>
    </row>
    <row r="3466" spans="8:8" x14ac:dyDescent="0.25">
      <c r="H3466" s="2"/>
    </row>
    <row r="3467" spans="8:8" x14ac:dyDescent="0.25">
      <c r="H3467" s="2"/>
    </row>
    <row r="3468" spans="8:8" x14ac:dyDescent="0.25">
      <c r="H3468" s="2"/>
    </row>
    <row r="3469" spans="8:8" x14ac:dyDescent="0.25">
      <c r="H3469" s="2"/>
    </row>
    <row r="3470" spans="8:8" x14ac:dyDescent="0.25">
      <c r="H3470" s="2"/>
    </row>
    <row r="3471" spans="8:8" x14ac:dyDescent="0.25">
      <c r="H3471" s="2"/>
    </row>
    <row r="3472" spans="8:8" x14ac:dyDescent="0.25">
      <c r="H3472" s="2"/>
    </row>
    <row r="3473" spans="8:8" x14ac:dyDescent="0.25">
      <c r="H3473" s="2"/>
    </row>
    <row r="3474" spans="8:8" x14ac:dyDescent="0.25">
      <c r="H3474" s="2"/>
    </row>
    <row r="3475" spans="8:8" x14ac:dyDescent="0.25">
      <c r="H3475" s="2"/>
    </row>
    <row r="3476" spans="8:8" x14ac:dyDescent="0.25">
      <c r="H3476" s="2"/>
    </row>
    <row r="3477" spans="8:8" x14ac:dyDescent="0.25">
      <c r="H3477" s="2"/>
    </row>
    <row r="3478" spans="8:8" x14ac:dyDescent="0.25">
      <c r="H3478" s="2"/>
    </row>
    <row r="3479" spans="8:8" x14ac:dyDescent="0.25">
      <c r="H3479" s="2"/>
    </row>
    <row r="3480" spans="8:8" x14ac:dyDescent="0.25">
      <c r="H3480" s="2"/>
    </row>
    <row r="3481" spans="8:8" x14ac:dyDescent="0.25">
      <c r="H3481" s="2"/>
    </row>
    <row r="3482" spans="8:8" x14ac:dyDescent="0.25">
      <c r="H3482" s="2"/>
    </row>
    <row r="3483" spans="8:8" x14ac:dyDescent="0.25">
      <c r="H3483" s="2"/>
    </row>
    <row r="3484" spans="8:8" x14ac:dyDescent="0.25">
      <c r="H3484" s="2"/>
    </row>
    <row r="3485" spans="8:8" x14ac:dyDescent="0.25">
      <c r="H3485" s="2"/>
    </row>
    <row r="3486" spans="8:8" x14ac:dyDescent="0.25">
      <c r="H3486" s="2"/>
    </row>
    <row r="3487" spans="8:8" x14ac:dyDescent="0.25">
      <c r="H3487" s="2"/>
    </row>
    <row r="3488" spans="8:8" x14ac:dyDescent="0.25">
      <c r="H3488" s="2"/>
    </row>
    <row r="3489" spans="8:8" x14ac:dyDescent="0.25">
      <c r="H3489" s="2"/>
    </row>
    <row r="3490" spans="8:8" x14ac:dyDescent="0.25">
      <c r="H3490" s="2"/>
    </row>
    <row r="3491" spans="8:8" x14ac:dyDescent="0.25">
      <c r="H3491" s="2"/>
    </row>
    <row r="3492" spans="8:8" x14ac:dyDescent="0.25">
      <c r="H3492" s="2"/>
    </row>
    <row r="3493" spans="8:8" x14ac:dyDescent="0.25">
      <c r="H3493" s="2"/>
    </row>
    <row r="3494" spans="8:8" x14ac:dyDescent="0.25">
      <c r="H3494" s="2"/>
    </row>
    <row r="3495" spans="8:8" x14ac:dyDescent="0.25">
      <c r="H3495" s="2"/>
    </row>
    <row r="3496" spans="8:8" x14ac:dyDescent="0.25">
      <c r="H3496" s="2"/>
    </row>
    <row r="3497" spans="8:8" x14ac:dyDescent="0.25">
      <c r="H3497" s="2"/>
    </row>
    <row r="3498" spans="8:8" x14ac:dyDescent="0.25">
      <c r="H3498" s="2"/>
    </row>
    <row r="3499" spans="8:8" x14ac:dyDescent="0.25">
      <c r="H3499" s="2"/>
    </row>
    <row r="3500" spans="8:8" x14ac:dyDescent="0.25">
      <c r="H3500" s="2"/>
    </row>
    <row r="3501" spans="8:8" x14ac:dyDescent="0.25">
      <c r="H3501" s="2"/>
    </row>
    <row r="3502" spans="8:8" x14ac:dyDescent="0.25">
      <c r="H3502" s="2"/>
    </row>
    <row r="3503" spans="8:8" x14ac:dyDescent="0.25">
      <c r="H3503" s="2"/>
    </row>
    <row r="3504" spans="8:8" x14ac:dyDescent="0.25">
      <c r="H3504" s="2"/>
    </row>
    <row r="3505" spans="8:8" x14ac:dyDescent="0.25">
      <c r="H3505" s="2"/>
    </row>
    <row r="3506" spans="8:8" x14ac:dyDescent="0.25">
      <c r="H3506" s="2"/>
    </row>
    <row r="3507" spans="8:8" x14ac:dyDescent="0.25">
      <c r="H3507" s="2"/>
    </row>
    <row r="3508" spans="8:8" x14ac:dyDescent="0.25">
      <c r="H3508" s="2"/>
    </row>
    <row r="3509" spans="8:8" x14ac:dyDescent="0.25">
      <c r="H3509" s="2"/>
    </row>
    <row r="3510" spans="8:8" x14ac:dyDescent="0.25">
      <c r="H3510" s="2"/>
    </row>
    <row r="3511" spans="8:8" x14ac:dyDescent="0.25">
      <c r="H3511" s="2"/>
    </row>
    <row r="3512" spans="8:8" x14ac:dyDescent="0.25">
      <c r="H3512" s="2"/>
    </row>
    <row r="3513" spans="8:8" x14ac:dyDescent="0.25">
      <c r="H3513" s="2"/>
    </row>
    <row r="3514" spans="8:8" x14ac:dyDescent="0.25">
      <c r="H3514" s="2"/>
    </row>
    <row r="3515" spans="8:8" x14ac:dyDescent="0.25">
      <c r="H3515" s="2"/>
    </row>
    <row r="3516" spans="8:8" x14ac:dyDescent="0.25">
      <c r="H3516" s="2"/>
    </row>
    <row r="3517" spans="8:8" x14ac:dyDescent="0.25">
      <c r="H3517" s="2"/>
    </row>
    <row r="3518" spans="8:8" x14ac:dyDescent="0.25">
      <c r="H3518" s="2"/>
    </row>
    <row r="3519" spans="8:8" x14ac:dyDescent="0.25">
      <c r="H3519" s="2"/>
    </row>
    <row r="3520" spans="8:8" x14ac:dyDescent="0.25">
      <c r="H3520" s="2"/>
    </row>
    <row r="3521" spans="8:8" x14ac:dyDescent="0.25">
      <c r="H3521" s="2"/>
    </row>
    <row r="3522" spans="8:8" x14ac:dyDescent="0.25">
      <c r="H3522" s="2"/>
    </row>
    <row r="3523" spans="8:8" x14ac:dyDescent="0.25">
      <c r="H3523" s="2"/>
    </row>
    <row r="3524" spans="8:8" x14ac:dyDescent="0.25">
      <c r="H3524" s="2"/>
    </row>
    <row r="3525" spans="8:8" x14ac:dyDescent="0.25">
      <c r="H3525" s="2"/>
    </row>
    <row r="3526" spans="8:8" x14ac:dyDescent="0.25">
      <c r="H3526" s="2"/>
    </row>
    <row r="3527" spans="8:8" x14ac:dyDescent="0.25">
      <c r="H3527" s="2"/>
    </row>
    <row r="3528" spans="8:8" x14ac:dyDescent="0.25">
      <c r="H3528" s="2"/>
    </row>
    <row r="3529" spans="8:8" x14ac:dyDescent="0.25">
      <c r="H3529" s="2"/>
    </row>
    <row r="3530" spans="8:8" x14ac:dyDescent="0.25">
      <c r="H3530" s="2"/>
    </row>
    <row r="3531" spans="8:8" x14ac:dyDescent="0.25">
      <c r="H3531" s="2"/>
    </row>
    <row r="3532" spans="8:8" x14ac:dyDescent="0.25">
      <c r="H3532" s="2"/>
    </row>
    <row r="3533" spans="8:8" x14ac:dyDescent="0.25">
      <c r="H3533" s="2"/>
    </row>
    <row r="3534" spans="8:8" x14ac:dyDescent="0.25">
      <c r="H3534" s="2"/>
    </row>
    <row r="3535" spans="8:8" x14ac:dyDescent="0.25">
      <c r="H3535" s="2"/>
    </row>
    <row r="3536" spans="8:8" x14ac:dyDescent="0.25">
      <c r="H3536" s="2"/>
    </row>
    <row r="3537" spans="8:8" x14ac:dyDescent="0.25">
      <c r="H3537" s="2"/>
    </row>
    <row r="3538" spans="8:8" x14ac:dyDescent="0.25">
      <c r="H3538" s="2"/>
    </row>
    <row r="3539" spans="8:8" x14ac:dyDescent="0.25">
      <c r="H3539" s="2"/>
    </row>
    <row r="3540" spans="8:8" x14ac:dyDescent="0.25">
      <c r="H3540" s="2"/>
    </row>
    <row r="3541" spans="8:8" x14ac:dyDescent="0.25">
      <c r="H3541" s="2"/>
    </row>
    <row r="3542" spans="8:8" x14ac:dyDescent="0.25">
      <c r="H3542" s="2"/>
    </row>
    <row r="3543" spans="8:8" x14ac:dyDescent="0.25">
      <c r="H3543" s="2"/>
    </row>
    <row r="3544" spans="8:8" x14ac:dyDescent="0.25">
      <c r="H3544" s="2"/>
    </row>
    <row r="3545" spans="8:8" x14ac:dyDescent="0.25">
      <c r="H3545" s="2"/>
    </row>
    <row r="3546" spans="8:8" x14ac:dyDescent="0.25">
      <c r="H3546" s="2"/>
    </row>
    <row r="3547" spans="8:8" x14ac:dyDescent="0.25">
      <c r="H3547" s="2"/>
    </row>
    <row r="3548" spans="8:8" x14ac:dyDescent="0.25">
      <c r="H3548" s="2"/>
    </row>
    <row r="3549" spans="8:8" x14ac:dyDescent="0.25">
      <c r="H3549" s="2"/>
    </row>
    <row r="3550" spans="8:8" x14ac:dyDescent="0.25">
      <c r="H3550" s="2"/>
    </row>
    <row r="3551" spans="8:8" x14ac:dyDescent="0.25">
      <c r="H3551" s="2"/>
    </row>
    <row r="3552" spans="8:8" x14ac:dyDescent="0.25">
      <c r="H3552" s="2"/>
    </row>
    <row r="3553" spans="8:8" x14ac:dyDescent="0.25">
      <c r="H3553" s="2"/>
    </row>
    <row r="3554" spans="8:8" x14ac:dyDescent="0.25">
      <c r="H3554" s="2"/>
    </row>
    <row r="3555" spans="8:8" x14ac:dyDescent="0.25">
      <c r="H3555" s="2"/>
    </row>
    <row r="3556" spans="8:8" x14ac:dyDescent="0.25">
      <c r="H3556" s="2"/>
    </row>
    <row r="3557" spans="8:8" x14ac:dyDescent="0.25">
      <c r="H3557" s="2"/>
    </row>
    <row r="3558" spans="8:8" x14ac:dyDescent="0.25">
      <c r="H3558" s="2"/>
    </row>
    <row r="3559" spans="8:8" x14ac:dyDescent="0.25">
      <c r="H3559" s="2"/>
    </row>
    <row r="3560" spans="8:8" x14ac:dyDescent="0.25">
      <c r="H3560" s="2"/>
    </row>
    <row r="3561" spans="8:8" x14ac:dyDescent="0.25">
      <c r="H3561" s="2"/>
    </row>
    <row r="3562" spans="8:8" x14ac:dyDescent="0.25">
      <c r="H3562" s="2"/>
    </row>
    <row r="3563" spans="8:8" x14ac:dyDescent="0.25">
      <c r="H3563" s="2"/>
    </row>
    <row r="3564" spans="8:8" x14ac:dyDescent="0.25">
      <c r="H3564" s="2"/>
    </row>
    <row r="3565" spans="8:8" x14ac:dyDescent="0.25">
      <c r="H3565" s="2"/>
    </row>
    <row r="3566" spans="8:8" x14ac:dyDescent="0.25">
      <c r="H3566" s="2"/>
    </row>
    <row r="3567" spans="8:8" x14ac:dyDescent="0.25">
      <c r="H3567" s="2"/>
    </row>
    <row r="3568" spans="8:8" x14ac:dyDescent="0.25">
      <c r="H3568" s="2"/>
    </row>
    <row r="3569" spans="8:8" x14ac:dyDescent="0.25">
      <c r="H3569" s="2"/>
    </row>
    <row r="3570" spans="8:8" x14ac:dyDescent="0.25">
      <c r="H3570" s="2"/>
    </row>
    <row r="3571" spans="8:8" x14ac:dyDescent="0.25">
      <c r="H3571" s="2"/>
    </row>
    <row r="3572" spans="8:8" x14ac:dyDescent="0.25">
      <c r="H3572" s="2"/>
    </row>
    <row r="3573" spans="8:8" x14ac:dyDescent="0.25">
      <c r="H3573" s="2"/>
    </row>
    <row r="3574" spans="8:8" x14ac:dyDescent="0.25">
      <c r="H3574" s="2"/>
    </row>
    <row r="3575" spans="8:8" x14ac:dyDescent="0.25">
      <c r="H3575" s="2"/>
    </row>
    <row r="3576" spans="8:8" x14ac:dyDescent="0.25">
      <c r="H3576" s="2"/>
    </row>
    <row r="3577" spans="8:8" x14ac:dyDescent="0.25">
      <c r="H3577" s="2"/>
    </row>
    <row r="3578" spans="8:8" x14ac:dyDescent="0.25">
      <c r="H3578" s="2"/>
    </row>
    <row r="3579" spans="8:8" x14ac:dyDescent="0.25">
      <c r="H3579" s="2"/>
    </row>
    <row r="3580" spans="8:8" x14ac:dyDescent="0.25">
      <c r="H3580" s="2"/>
    </row>
    <row r="3581" spans="8:8" x14ac:dyDescent="0.25">
      <c r="H3581" s="2"/>
    </row>
    <row r="3582" spans="8:8" x14ac:dyDescent="0.25">
      <c r="H3582" s="2"/>
    </row>
    <row r="3583" spans="8:8" x14ac:dyDescent="0.25">
      <c r="H3583" s="2"/>
    </row>
    <row r="3584" spans="8:8" x14ac:dyDescent="0.25">
      <c r="H3584" s="2"/>
    </row>
    <row r="3585" spans="8:8" x14ac:dyDescent="0.25">
      <c r="H3585" s="2"/>
    </row>
    <row r="3586" spans="8:8" x14ac:dyDescent="0.25">
      <c r="H3586" s="2"/>
    </row>
    <row r="3587" spans="8:8" x14ac:dyDescent="0.25">
      <c r="H3587" s="2"/>
    </row>
    <row r="3588" spans="8:8" x14ac:dyDescent="0.25">
      <c r="H3588" s="2"/>
    </row>
    <row r="3589" spans="8:8" x14ac:dyDescent="0.25">
      <c r="H3589" s="2"/>
    </row>
    <row r="3590" spans="8:8" x14ac:dyDescent="0.25">
      <c r="H3590" s="2"/>
    </row>
    <row r="3591" spans="8:8" x14ac:dyDescent="0.25">
      <c r="H3591" s="2"/>
    </row>
    <row r="3592" spans="8:8" x14ac:dyDescent="0.25">
      <c r="H3592" s="2"/>
    </row>
    <row r="3593" spans="8:8" x14ac:dyDescent="0.25">
      <c r="H3593" s="2"/>
    </row>
    <row r="3594" spans="8:8" x14ac:dyDescent="0.25">
      <c r="H3594" s="2"/>
    </row>
    <row r="3595" spans="8:8" x14ac:dyDescent="0.25">
      <c r="H3595" s="2"/>
    </row>
    <row r="3596" spans="8:8" x14ac:dyDescent="0.25">
      <c r="H3596" s="2"/>
    </row>
    <row r="3597" spans="8:8" x14ac:dyDescent="0.25">
      <c r="H3597" s="2"/>
    </row>
    <row r="3598" spans="8:8" x14ac:dyDescent="0.25">
      <c r="H3598" s="2"/>
    </row>
    <row r="3599" spans="8:8" x14ac:dyDescent="0.25">
      <c r="H3599" s="2"/>
    </row>
    <row r="3600" spans="8:8" x14ac:dyDescent="0.25">
      <c r="H3600" s="2"/>
    </row>
    <row r="3601" spans="8:8" x14ac:dyDescent="0.25">
      <c r="H3601" s="2"/>
    </row>
    <row r="3602" spans="8:8" x14ac:dyDescent="0.25">
      <c r="H3602" s="2"/>
    </row>
    <row r="3603" spans="8:8" x14ac:dyDescent="0.25">
      <c r="H3603" s="2"/>
    </row>
    <row r="3604" spans="8:8" x14ac:dyDescent="0.25">
      <c r="H3604" s="2"/>
    </row>
    <row r="3605" spans="8:8" x14ac:dyDescent="0.25">
      <c r="H3605" s="2"/>
    </row>
    <row r="3606" spans="8:8" x14ac:dyDescent="0.25">
      <c r="H3606" s="2"/>
    </row>
    <row r="3607" spans="8:8" x14ac:dyDescent="0.25">
      <c r="H3607" s="2"/>
    </row>
    <row r="3608" spans="8:8" x14ac:dyDescent="0.25">
      <c r="H3608" s="2"/>
    </row>
    <row r="3609" spans="8:8" x14ac:dyDescent="0.25">
      <c r="H3609" s="2"/>
    </row>
    <row r="3610" spans="8:8" x14ac:dyDescent="0.25">
      <c r="H3610" s="2"/>
    </row>
    <row r="3611" spans="8:8" x14ac:dyDescent="0.25">
      <c r="H3611" s="2"/>
    </row>
    <row r="3612" spans="8:8" x14ac:dyDescent="0.25">
      <c r="H3612" s="2"/>
    </row>
    <row r="3613" spans="8:8" x14ac:dyDescent="0.25">
      <c r="H3613" s="2"/>
    </row>
    <row r="3614" spans="8:8" x14ac:dyDescent="0.25">
      <c r="H3614" s="2"/>
    </row>
    <row r="3615" spans="8:8" x14ac:dyDescent="0.25">
      <c r="H3615" s="2"/>
    </row>
    <row r="3616" spans="8:8" x14ac:dyDescent="0.25">
      <c r="H3616" s="2"/>
    </row>
    <row r="3617" spans="8:8" x14ac:dyDescent="0.25">
      <c r="H3617" s="2"/>
    </row>
    <row r="3618" spans="8:8" x14ac:dyDescent="0.25">
      <c r="H3618" s="2"/>
    </row>
    <row r="3619" spans="8:8" x14ac:dyDescent="0.25">
      <c r="H3619" s="2"/>
    </row>
    <row r="3620" spans="8:8" x14ac:dyDescent="0.25">
      <c r="H3620" s="2"/>
    </row>
    <row r="3621" spans="8:8" x14ac:dyDescent="0.25">
      <c r="H3621" s="2"/>
    </row>
    <row r="3622" spans="8:8" x14ac:dyDescent="0.25">
      <c r="H3622" s="2"/>
    </row>
    <row r="3623" spans="8:8" x14ac:dyDescent="0.25">
      <c r="H3623" s="2"/>
    </row>
    <row r="3624" spans="8:8" x14ac:dyDescent="0.25">
      <c r="H3624" s="2"/>
    </row>
    <row r="3625" spans="8:8" x14ac:dyDescent="0.25">
      <c r="H3625" s="2"/>
    </row>
    <row r="3626" spans="8:8" x14ac:dyDescent="0.25">
      <c r="H3626" s="2"/>
    </row>
    <row r="3627" spans="8:8" x14ac:dyDescent="0.25">
      <c r="H3627" s="2"/>
    </row>
    <row r="3628" spans="8:8" x14ac:dyDescent="0.25">
      <c r="H3628" s="2"/>
    </row>
    <row r="3629" spans="8:8" x14ac:dyDescent="0.25">
      <c r="H3629" s="2"/>
    </row>
    <row r="3630" spans="8:8" x14ac:dyDescent="0.25">
      <c r="H3630" s="2"/>
    </row>
    <row r="3631" spans="8:8" x14ac:dyDescent="0.25">
      <c r="H3631" s="2"/>
    </row>
    <row r="3632" spans="8:8" x14ac:dyDescent="0.25">
      <c r="H3632" s="2"/>
    </row>
  </sheetData>
  <mergeCells count="28">
    <mergeCell ref="S1:W1"/>
    <mergeCell ref="X1:AB1"/>
    <mergeCell ref="C2:C3"/>
    <mergeCell ref="S2:S3"/>
    <mergeCell ref="T2:T3"/>
    <mergeCell ref="U2:U3"/>
    <mergeCell ref="V2:W2"/>
    <mergeCell ref="J2:J3"/>
    <mergeCell ref="X2:X3"/>
    <mergeCell ref="Y2:Y3"/>
    <mergeCell ref="G2:H2"/>
    <mergeCell ref="I2:I3"/>
    <mergeCell ref="Z2:Z3"/>
    <mergeCell ref="AA2:AB2"/>
    <mergeCell ref="N2:N3"/>
    <mergeCell ref="O2:O3"/>
    <mergeCell ref="P2:P3"/>
    <mergeCell ref="Q2:R2"/>
    <mergeCell ref="K2:K3"/>
    <mergeCell ref="L2:M2"/>
    <mergeCell ref="N1:R1"/>
    <mergeCell ref="A1:A3"/>
    <mergeCell ref="B1:B3"/>
    <mergeCell ref="D1:H1"/>
    <mergeCell ref="I1:M1"/>
    <mergeCell ref="D2:D3"/>
    <mergeCell ref="E2:E3"/>
    <mergeCell ref="F2:F3"/>
  </mergeCells>
  <phoneticPr fontId="20" type="noConversion"/>
  <conditionalFormatting sqref="S8:U8 D8:F8 I8:K8 N8:P8 X8:Z8">
    <cfRule type="cellIs" dxfId="108" priority="35" operator="equal">
      <formula>0</formula>
    </cfRule>
  </conditionalFormatting>
  <conditionalFormatting sqref="G8:H8">
    <cfRule type="cellIs" dxfId="107" priority="34" operator="equal">
      <formula>0</formula>
    </cfRule>
  </conditionalFormatting>
  <conditionalFormatting sqref="L8:M8">
    <cfRule type="cellIs" dxfId="106" priority="33" operator="equal">
      <formula>0</formula>
    </cfRule>
  </conditionalFormatting>
  <conditionalFormatting sqref="Q8:R8">
    <cfRule type="cellIs" dxfId="105" priority="32" operator="equal">
      <formula>0</formula>
    </cfRule>
  </conditionalFormatting>
  <conditionalFormatting sqref="V8:W8">
    <cfRule type="cellIs" dxfId="104" priority="31" operator="equal">
      <formula>0</formula>
    </cfRule>
  </conditionalFormatting>
  <conditionalFormatting sqref="AA8:AB8">
    <cfRule type="cellIs" dxfId="103" priority="30" operator="equal">
      <formula>0</formula>
    </cfRule>
  </conditionalFormatting>
  <conditionalFormatting sqref="C8">
    <cfRule type="cellIs" dxfId="102" priority="29" operator="equal">
      <formula>0</formula>
    </cfRule>
  </conditionalFormatting>
  <hyperlinks>
    <hyperlink ref="B16" location="Содержание!A1" display="Возврат в содержание"/>
    <hyperlink ref="B17" location="'БДР РСБУ'!A1" display="БДР РСБУ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J22"/>
  <sheetViews>
    <sheetView workbookViewId="0">
      <selection activeCell="M11" sqref="M11"/>
    </sheetView>
  </sheetViews>
  <sheetFormatPr defaultRowHeight="15" x14ac:dyDescent="0.25"/>
  <sheetData>
    <row r="1" spans="1:10" x14ac:dyDescent="0.25">
      <c r="A1" s="45" t="s">
        <v>95</v>
      </c>
      <c r="B1" s="46" t="s">
        <v>48</v>
      </c>
      <c r="F1" t="s">
        <v>96</v>
      </c>
      <c r="G1" s="234" t="s">
        <v>61</v>
      </c>
      <c r="H1" s="234"/>
      <c r="I1" s="234"/>
      <c r="J1" s="47"/>
    </row>
    <row r="2" spans="1:10" ht="38.25" x14ac:dyDescent="0.25">
      <c r="A2" t="s">
        <v>49</v>
      </c>
      <c r="B2" s="46" t="s">
        <v>49</v>
      </c>
      <c r="F2" s="12" t="s">
        <v>119</v>
      </c>
      <c r="G2" s="235" t="s">
        <v>62</v>
      </c>
      <c r="H2" s="235"/>
      <c r="I2" s="235"/>
      <c r="J2" s="48"/>
    </row>
    <row r="3" spans="1:10" ht="38.25" x14ac:dyDescent="0.25">
      <c r="A3" t="s">
        <v>97</v>
      </c>
      <c r="B3" s="46" t="s">
        <v>50</v>
      </c>
      <c r="F3" t="s">
        <v>63</v>
      </c>
      <c r="G3" s="236" t="s">
        <v>63</v>
      </c>
      <c r="H3" s="236"/>
      <c r="I3" s="236"/>
      <c r="J3" s="48"/>
    </row>
    <row r="4" spans="1:10" x14ac:dyDescent="0.25">
      <c r="A4" s="12" t="s">
        <v>119</v>
      </c>
      <c r="B4" s="36" t="s">
        <v>51</v>
      </c>
      <c r="F4" t="s">
        <v>64</v>
      </c>
      <c r="G4" s="236" t="s">
        <v>64</v>
      </c>
      <c r="H4" s="236"/>
      <c r="I4" s="236"/>
      <c r="J4" s="48"/>
    </row>
    <row r="5" spans="1:10" ht="26.25" x14ac:dyDescent="0.25">
      <c r="B5" t="s">
        <v>52</v>
      </c>
      <c r="F5" t="s">
        <v>83</v>
      </c>
      <c r="G5" s="237" t="s">
        <v>65</v>
      </c>
      <c r="H5" s="238"/>
      <c r="I5" s="49" t="s">
        <v>83</v>
      </c>
      <c r="J5" s="48"/>
    </row>
    <row r="6" spans="1:10" ht="25.5" x14ac:dyDescent="0.25">
      <c r="B6" t="s">
        <v>53</v>
      </c>
      <c r="F6" t="s">
        <v>98</v>
      </c>
      <c r="G6" s="232"/>
      <c r="H6" s="233"/>
      <c r="I6" s="46" t="s">
        <v>84</v>
      </c>
      <c r="J6" t="s">
        <v>99</v>
      </c>
    </row>
    <row r="7" spans="1:10" x14ac:dyDescent="0.25">
      <c r="F7" t="s">
        <v>100</v>
      </c>
      <c r="G7" s="236" t="s">
        <v>66</v>
      </c>
      <c r="H7" s="236"/>
      <c r="I7" s="236"/>
      <c r="J7" t="s">
        <v>101</v>
      </c>
    </row>
    <row r="8" spans="1:10" x14ac:dyDescent="0.25">
      <c r="F8" s="12" t="s">
        <v>119</v>
      </c>
      <c r="G8" s="225" t="s">
        <v>67</v>
      </c>
      <c r="H8" s="225"/>
      <c r="I8" s="225"/>
      <c r="J8" t="s">
        <v>102</v>
      </c>
    </row>
    <row r="9" spans="1:10" x14ac:dyDescent="0.25">
      <c r="F9" t="s">
        <v>103</v>
      </c>
      <c r="G9" s="226" t="s">
        <v>68</v>
      </c>
      <c r="H9" s="227"/>
      <c r="I9" s="50" t="s">
        <v>85</v>
      </c>
      <c r="J9" t="s">
        <v>104</v>
      </c>
    </row>
    <row r="10" spans="1:10" x14ac:dyDescent="0.25">
      <c r="F10" t="s">
        <v>105</v>
      </c>
      <c r="G10" s="228"/>
      <c r="H10" s="229"/>
      <c r="I10" s="51" t="s">
        <v>73</v>
      </c>
      <c r="J10" t="s">
        <v>106</v>
      </c>
    </row>
    <row r="11" spans="1:10" x14ac:dyDescent="0.25">
      <c r="F11" t="s">
        <v>86</v>
      </c>
      <c r="G11" s="230" t="s">
        <v>65</v>
      </c>
      <c r="H11" s="231"/>
      <c r="I11" s="52" t="s">
        <v>86</v>
      </c>
      <c r="J11" t="s">
        <v>107</v>
      </c>
    </row>
    <row r="12" spans="1:10" x14ac:dyDescent="0.25">
      <c r="F12" t="s">
        <v>108</v>
      </c>
      <c r="G12" s="232"/>
      <c r="H12" s="233"/>
      <c r="I12" s="51" t="s">
        <v>87</v>
      </c>
      <c r="J12" t="s">
        <v>109</v>
      </c>
    </row>
    <row r="13" spans="1:10" x14ac:dyDescent="0.25">
      <c r="J13" t="s">
        <v>110</v>
      </c>
    </row>
    <row r="14" spans="1:10" x14ac:dyDescent="0.25">
      <c r="J14" t="s">
        <v>111</v>
      </c>
    </row>
    <row r="15" spans="1:10" x14ac:dyDescent="0.25">
      <c r="J15" t="s">
        <v>112</v>
      </c>
    </row>
    <row r="16" spans="1:10" x14ac:dyDescent="0.25">
      <c r="J16" t="s">
        <v>113</v>
      </c>
    </row>
    <row r="17" spans="1:10" x14ac:dyDescent="0.25">
      <c r="J17" t="s">
        <v>114</v>
      </c>
    </row>
    <row r="18" spans="1:10" x14ac:dyDescent="0.25">
      <c r="A18" t="s">
        <v>52</v>
      </c>
      <c r="B18" t="s">
        <v>53</v>
      </c>
      <c r="J18" t="s">
        <v>115</v>
      </c>
    </row>
    <row r="19" spans="1:10" x14ac:dyDescent="0.25">
      <c r="J19" t="s">
        <v>116</v>
      </c>
    </row>
    <row r="20" spans="1:10" x14ac:dyDescent="0.25">
      <c r="J20" t="s">
        <v>117</v>
      </c>
    </row>
    <row r="21" spans="1:10" x14ac:dyDescent="0.25">
      <c r="J21" t="s">
        <v>118</v>
      </c>
    </row>
    <row r="22" spans="1:10" x14ac:dyDescent="0.25">
      <c r="J22" s="48"/>
    </row>
  </sheetData>
  <mergeCells count="9">
    <mergeCell ref="G8:I8"/>
    <mergeCell ref="G9:H10"/>
    <mergeCell ref="G11:H12"/>
    <mergeCell ref="G1:I1"/>
    <mergeCell ref="G2:I2"/>
    <mergeCell ref="G3:I3"/>
    <mergeCell ref="G4:I4"/>
    <mergeCell ref="G5:H6"/>
    <mergeCell ref="G7:I7"/>
  </mergeCells>
  <phoneticPr fontId="2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outlinePr summaryBelow="0" summaryRight="0"/>
  </sheetPr>
  <dimension ref="A1:IV17"/>
  <sheetViews>
    <sheetView workbookViewId="0">
      <selection activeCell="H14" sqref="H14"/>
    </sheetView>
  </sheetViews>
  <sheetFormatPr defaultColWidth="12.42578125" defaultRowHeight="15" x14ac:dyDescent="0.25"/>
  <cols>
    <col min="1" max="1" width="8.5703125" style="21" customWidth="1"/>
    <col min="2" max="2" width="51.5703125" style="21" customWidth="1"/>
    <col min="3" max="16384" width="12.42578125" style="21"/>
  </cols>
  <sheetData>
    <row r="1" spans="1:256" ht="15" customHeight="1" x14ac:dyDescent="0.25">
      <c r="A1" s="243" t="s">
        <v>0</v>
      </c>
      <c r="B1" s="244" t="s">
        <v>1</v>
      </c>
      <c r="C1" s="240" t="s">
        <v>12</v>
      </c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1"/>
      <c r="Q1" s="242"/>
      <c r="R1" s="240" t="s">
        <v>28</v>
      </c>
      <c r="S1" s="241"/>
      <c r="T1" s="241"/>
      <c r="U1" s="241"/>
      <c r="V1" s="241"/>
      <c r="W1" s="241"/>
      <c r="X1" s="241"/>
      <c r="Y1" s="241"/>
      <c r="Z1" s="241"/>
      <c r="AA1" s="241"/>
      <c r="AB1" s="241"/>
      <c r="AC1" s="241"/>
      <c r="AD1" s="241"/>
      <c r="AE1" s="241"/>
      <c r="AF1" s="242"/>
      <c r="AG1" s="240" t="s">
        <v>25</v>
      </c>
      <c r="AH1" s="241"/>
      <c r="AI1" s="241"/>
      <c r="AJ1" s="241"/>
      <c r="AK1" s="241"/>
      <c r="AL1" s="241"/>
      <c r="AM1" s="241"/>
      <c r="AN1" s="241"/>
      <c r="AO1" s="241"/>
      <c r="AP1" s="241"/>
      <c r="AQ1" s="241"/>
      <c r="AR1" s="241"/>
      <c r="AS1" s="241"/>
      <c r="AT1" s="241"/>
      <c r="AU1" s="242"/>
      <c r="AV1" s="240" t="s">
        <v>26</v>
      </c>
      <c r="AW1" s="241"/>
      <c r="AX1" s="241"/>
      <c r="AY1" s="241"/>
      <c r="AZ1" s="241"/>
      <c r="BA1" s="241"/>
      <c r="BB1" s="241"/>
      <c r="BC1" s="241"/>
      <c r="BD1" s="241"/>
      <c r="BE1" s="241"/>
      <c r="BF1" s="241"/>
      <c r="BG1" s="241"/>
      <c r="BH1" s="241"/>
      <c r="BI1" s="241"/>
      <c r="BJ1" s="242"/>
      <c r="BK1" s="240" t="s">
        <v>27</v>
      </c>
      <c r="BL1" s="241"/>
      <c r="BM1" s="241"/>
      <c r="BN1" s="241"/>
      <c r="BO1" s="241"/>
      <c r="BP1" s="241"/>
      <c r="BQ1" s="241"/>
      <c r="BR1" s="241"/>
      <c r="BS1" s="241"/>
      <c r="BT1" s="241"/>
      <c r="BU1" s="241"/>
      <c r="BV1" s="241"/>
      <c r="BW1" s="241"/>
      <c r="BX1" s="241"/>
      <c r="BY1" s="242"/>
      <c r="BZ1" s="240" t="s">
        <v>29</v>
      </c>
      <c r="CA1" s="241"/>
      <c r="CB1" s="241"/>
      <c r="CC1" s="241"/>
      <c r="CD1" s="241"/>
      <c r="CE1" s="241"/>
      <c r="CF1" s="241"/>
      <c r="CG1" s="241"/>
      <c r="CH1" s="241"/>
      <c r="CI1" s="241"/>
      <c r="CJ1" s="241"/>
      <c r="CK1" s="241"/>
      <c r="CL1" s="241"/>
      <c r="CM1" s="241"/>
      <c r="CN1" s="242"/>
      <c r="CO1" s="240" t="s">
        <v>30</v>
      </c>
      <c r="CP1" s="241"/>
      <c r="CQ1" s="241"/>
      <c r="CR1" s="241"/>
      <c r="CS1" s="241"/>
      <c r="CT1" s="241"/>
      <c r="CU1" s="241"/>
      <c r="CV1" s="241"/>
      <c r="CW1" s="241"/>
      <c r="CX1" s="241"/>
      <c r="CY1" s="241"/>
      <c r="CZ1" s="241"/>
      <c r="DA1" s="241"/>
      <c r="DB1" s="241"/>
      <c r="DC1" s="242"/>
      <c r="DD1" s="249" t="s">
        <v>40</v>
      </c>
      <c r="DE1" s="250"/>
      <c r="DF1" s="250"/>
      <c r="DG1" s="250"/>
      <c r="DH1" s="250"/>
      <c r="DI1" s="250"/>
      <c r="DJ1" s="250"/>
      <c r="DK1" s="250"/>
      <c r="DL1" s="250"/>
      <c r="DM1" s="250"/>
      <c r="DN1" s="250"/>
      <c r="DO1" s="250"/>
      <c r="DP1" s="250"/>
      <c r="DQ1" s="250"/>
      <c r="DR1" s="251"/>
      <c r="DS1" s="240" t="s">
        <v>31</v>
      </c>
      <c r="DT1" s="241"/>
      <c r="DU1" s="241"/>
      <c r="DV1" s="241"/>
      <c r="DW1" s="241"/>
      <c r="DX1" s="241"/>
      <c r="DY1" s="241"/>
      <c r="DZ1" s="241"/>
      <c r="EA1" s="241"/>
      <c r="EB1" s="241"/>
      <c r="EC1" s="241"/>
      <c r="ED1" s="241"/>
      <c r="EE1" s="241"/>
      <c r="EF1" s="241"/>
      <c r="EG1" s="242"/>
      <c r="EH1" s="240" t="s">
        <v>32</v>
      </c>
      <c r="EI1" s="241"/>
      <c r="EJ1" s="241"/>
      <c r="EK1" s="241"/>
      <c r="EL1" s="241"/>
      <c r="EM1" s="241"/>
      <c r="EN1" s="241"/>
      <c r="EO1" s="241"/>
      <c r="EP1" s="241"/>
      <c r="EQ1" s="241"/>
      <c r="ER1" s="241"/>
      <c r="ES1" s="241"/>
      <c r="ET1" s="241"/>
      <c r="EU1" s="241"/>
      <c r="EV1" s="242"/>
      <c r="EW1" s="240" t="s">
        <v>33</v>
      </c>
      <c r="EX1" s="241"/>
      <c r="EY1" s="241"/>
      <c r="EZ1" s="241"/>
      <c r="FA1" s="241"/>
      <c r="FB1" s="241"/>
      <c r="FC1" s="241"/>
      <c r="FD1" s="241"/>
      <c r="FE1" s="241"/>
      <c r="FF1" s="241"/>
      <c r="FG1" s="241"/>
      <c r="FH1" s="241"/>
      <c r="FI1" s="241"/>
      <c r="FJ1" s="241"/>
      <c r="FK1" s="242"/>
      <c r="FL1" s="240" t="s">
        <v>34</v>
      </c>
      <c r="FM1" s="241"/>
      <c r="FN1" s="241"/>
      <c r="FO1" s="241"/>
      <c r="FP1" s="241"/>
      <c r="FQ1" s="241"/>
      <c r="FR1" s="241"/>
      <c r="FS1" s="241"/>
      <c r="FT1" s="241"/>
      <c r="FU1" s="241"/>
      <c r="FV1" s="241"/>
      <c r="FW1" s="241"/>
      <c r="FX1" s="241"/>
      <c r="FY1" s="241"/>
      <c r="FZ1" s="242"/>
      <c r="GA1" s="240" t="s">
        <v>35</v>
      </c>
      <c r="GB1" s="241"/>
      <c r="GC1" s="241"/>
      <c r="GD1" s="241"/>
      <c r="GE1" s="241"/>
      <c r="GF1" s="241"/>
      <c r="GG1" s="241"/>
      <c r="GH1" s="241"/>
      <c r="GI1" s="241"/>
      <c r="GJ1" s="241"/>
      <c r="GK1" s="241"/>
      <c r="GL1" s="241"/>
      <c r="GM1" s="241"/>
      <c r="GN1" s="241"/>
      <c r="GO1" s="242"/>
      <c r="GP1" s="240" t="s">
        <v>36</v>
      </c>
      <c r="GQ1" s="241"/>
      <c r="GR1" s="241"/>
      <c r="GS1" s="241"/>
      <c r="GT1" s="241"/>
      <c r="GU1" s="241"/>
      <c r="GV1" s="241"/>
      <c r="GW1" s="241"/>
      <c r="GX1" s="241"/>
      <c r="GY1" s="241"/>
      <c r="GZ1" s="241"/>
      <c r="HA1" s="241"/>
      <c r="HB1" s="241"/>
      <c r="HC1" s="241"/>
      <c r="HD1" s="242"/>
      <c r="HE1" s="240" t="s">
        <v>37</v>
      </c>
      <c r="HF1" s="241"/>
      <c r="HG1" s="241"/>
      <c r="HH1" s="241"/>
      <c r="HI1" s="241"/>
      <c r="HJ1" s="241"/>
      <c r="HK1" s="241"/>
      <c r="HL1" s="241"/>
      <c r="HM1" s="241"/>
      <c r="HN1" s="241"/>
      <c r="HO1" s="241"/>
      <c r="HP1" s="241"/>
      <c r="HQ1" s="241"/>
      <c r="HR1" s="241"/>
      <c r="HS1" s="242"/>
      <c r="HT1" s="240" t="s">
        <v>38</v>
      </c>
      <c r="HU1" s="241"/>
      <c r="HV1" s="241"/>
      <c r="HW1" s="241"/>
      <c r="HX1" s="241"/>
      <c r="HY1" s="241"/>
      <c r="HZ1" s="241"/>
      <c r="IA1" s="241"/>
      <c r="IB1" s="241"/>
      <c r="IC1" s="241"/>
      <c r="ID1" s="241"/>
      <c r="IE1" s="241"/>
      <c r="IF1" s="241"/>
      <c r="IG1" s="241"/>
      <c r="IH1" s="242"/>
      <c r="II1" s="253" t="s">
        <v>39</v>
      </c>
      <c r="IJ1" s="241"/>
      <c r="IK1" s="241"/>
      <c r="IL1" s="241"/>
      <c r="IM1" s="241"/>
      <c r="IN1" s="241"/>
      <c r="IO1" s="241"/>
      <c r="IP1" s="241"/>
      <c r="IQ1" s="241"/>
      <c r="IR1" s="241"/>
      <c r="IS1" s="241"/>
      <c r="IT1" s="241"/>
      <c r="IU1" s="241"/>
      <c r="IV1" s="241"/>
    </row>
    <row r="2" spans="1:256" ht="15" customHeight="1" x14ac:dyDescent="0.25">
      <c r="A2" s="243"/>
      <c r="B2" s="244"/>
      <c r="C2" s="240" t="s">
        <v>21</v>
      </c>
      <c r="D2" s="241"/>
      <c r="E2" s="241"/>
      <c r="F2" s="241"/>
      <c r="G2" s="242"/>
      <c r="H2" s="240" t="s">
        <v>22</v>
      </c>
      <c r="I2" s="241"/>
      <c r="J2" s="241"/>
      <c r="K2" s="241"/>
      <c r="L2" s="242"/>
      <c r="M2" s="240" t="s">
        <v>23</v>
      </c>
      <c r="N2" s="241"/>
      <c r="O2" s="241"/>
      <c r="P2" s="241"/>
      <c r="Q2" s="242"/>
      <c r="R2" s="240" t="s">
        <v>21</v>
      </c>
      <c r="S2" s="241"/>
      <c r="T2" s="241"/>
      <c r="U2" s="241"/>
      <c r="V2" s="242"/>
      <c r="W2" s="240" t="s">
        <v>22</v>
      </c>
      <c r="X2" s="241"/>
      <c r="Y2" s="241"/>
      <c r="Z2" s="241"/>
      <c r="AA2" s="242"/>
      <c r="AB2" s="240" t="s">
        <v>23</v>
      </c>
      <c r="AC2" s="241"/>
      <c r="AD2" s="241"/>
      <c r="AE2" s="241"/>
      <c r="AF2" s="242"/>
      <c r="AG2" s="240" t="s">
        <v>21</v>
      </c>
      <c r="AH2" s="241"/>
      <c r="AI2" s="241"/>
      <c r="AJ2" s="241"/>
      <c r="AK2" s="242"/>
      <c r="AL2" s="240" t="s">
        <v>22</v>
      </c>
      <c r="AM2" s="241"/>
      <c r="AN2" s="241"/>
      <c r="AO2" s="241"/>
      <c r="AP2" s="242"/>
      <c r="AQ2" s="240" t="s">
        <v>23</v>
      </c>
      <c r="AR2" s="241"/>
      <c r="AS2" s="241"/>
      <c r="AT2" s="241"/>
      <c r="AU2" s="242"/>
      <c r="AV2" s="240" t="s">
        <v>21</v>
      </c>
      <c r="AW2" s="241"/>
      <c r="AX2" s="241"/>
      <c r="AY2" s="241"/>
      <c r="AZ2" s="242"/>
      <c r="BA2" s="240" t="s">
        <v>22</v>
      </c>
      <c r="BB2" s="241"/>
      <c r="BC2" s="241"/>
      <c r="BD2" s="241"/>
      <c r="BE2" s="242"/>
      <c r="BF2" s="240" t="s">
        <v>23</v>
      </c>
      <c r="BG2" s="241"/>
      <c r="BH2" s="241"/>
      <c r="BI2" s="241"/>
      <c r="BJ2" s="242"/>
      <c r="BK2" s="240" t="s">
        <v>21</v>
      </c>
      <c r="BL2" s="241"/>
      <c r="BM2" s="241"/>
      <c r="BN2" s="241"/>
      <c r="BO2" s="242"/>
      <c r="BP2" s="240" t="s">
        <v>22</v>
      </c>
      <c r="BQ2" s="241"/>
      <c r="BR2" s="241"/>
      <c r="BS2" s="241"/>
      <c r="BT2" s="242"/>
      <c r="BU2" s="240" t="s">
        <v>23</v>
      </c>
      <c r="BV2" s="241"/>
      <c r="BW2" s="241"/>
      <c r="BX2" s="241"/>
      <c r="BY2" s="242"/>
      <c r="BZ2" s="240" t="s">
        <v>21</v>
      </c>
      <c r="CA2" s="241"/>
      <c r="CB2" s="241"/>
      <c r="CC2" s="241"/>
      <c r="CD2" s="242"/>
      <c r="CE2" s="240" t="s">
        <v>22</v>
      </c>
      <c r="CF2" s="241"/>
      <c r="CG2" s="241"/>
      <c r="CH2" s="241"/>
      <c r="CI2" s="242"/>
      <c r="CJ2" s="240" t="s">
        <v>23</v>
      </c>
      <c r="CK2" s="241"/>
      <c r="CL2" s="241"/>
      <c r="CM2" s="241"/>
      <c r="CN2" s="242"/>
      <c r="CO2" s="240" t="s">
        <v>21</v>
      </c>
      <c r="CP2" s="241"/>
      <c r="CQ2" s="241"/>
      <c r="CR2" s="241"/>
      <c r="CS2" s="242"/>
      <c r="CT2" s="240" t="s">
        <v>22</v>
      </c>
      <c r="CU2" s="241"/>
      <c r="CV2" s="241"/>
      <c r="CW2" s="241"/>
      <c r="CX2" s="242"/>
      <c r="CY2" s="240" t="s">
        <v>23</v>
      </c>
      <c r="CZ2" s="241"/>
      <c r="DA2" s="241"/>
      <c r="DB2" s="241"/>
      <c r="DC2" s="242"/>
      <c r="DD2" s="252" t="s">
        <v>21</v>
      </c>
      <c r="DE2" s="250"/>
      <c r="DF2" s="250"/>
      <c r="DG2" s="250"/>
      <c r="DH2" s="251"/>
      <c r="DI2" s="252" t="s">
        <v>22</v>
      </c>
      <c r="DJ2" s="250"/>
      <c r="DK2" s="250"/>
      <c r="DL2" s="250"/>
      <c r="DM2" s="251"/>
      <c r="DN2" s="252" t="s">
        <v>23</v>
      </c>
      <c r="DO2" s="250"/>
      <c r="DP2" s="250"/>
      <c r="DQ2" s="250"/>
      <c r="DR2" s="251"/>
      <c r="DS2" s="240" t="s">
        <v>21</v>
      </c>
      <c r="DT2" s="241"/>
      <c r="DU2" s="241"/>
      <c r="DV2" s="241"/>
      <c r="DW2" s="242"/>
      <c r="DX2" s="240" t="s">
        <v>22</v>
      </c>
      <c r="DY2" s="241"/>
      <c r="DZ2" s="241"/>
      <c r="EA2" s="241"/>
      <c r="EB2" s="242"/>
      <c r="EC2" s="240" t="s">
        <v>23</v>
      </c>
      <c r="ED2" s="241"/>
      <c r="EE2" s="241"/>
      <c r="EF2" s="241"/>
      <c r="EG2" s="242"/>
      <c r="EH2" s="240" t="s">
        <v>21</v>
      </c>
      <c r="EI2" s="241"/>
      <c r="EJ2" s="241"/>
      <c r="EK2" s="241"/>
      <c r="EL2" s="242"/>
      <c r="EM2" s="240" t="s">
        <v>22</v>
      </c>
      <c r="EN2" s="241"/>
      <c r="EO2" s="241"/>
      <c r="EP2" s="241"/>
      <c r="EQ2" s="242"/>
      <c r="ER2" s="240" t="s">
        <v>23</v>
      </c>
      <c r="ES2" s="241"/>
      <c r="ET2" s="241"/>
      <c r="EU2" s="241"/>
      <c r="EV2" s="242"/>
      <c r="EW2" s="240" t="s">
        <v>21</v>
      </c>
      <c r="EX2" s="241"/>
      <c r="EY2" s="241"/>
      <c r="EZ2" s="241"/>
      <c r="FA2" s="242"/>
      <c r="FB2" s="240" t="s">
        <v>22</v>
      </c>
      <c r="FC2" s="241"/>
      <c r="FD2" s="241"/>
      <c r="FE2" s="241"/>
      <c r="FF2" s="242"/>
      <c r="FG2" s="240" t="s">
        <v>23</v>
      </c>
      <c r="FH2" s="241"/>
      <c r="FI2" s="241"/>
      <c r="FJ2" s="241"/>
      <c r="FK2" s="242"/>
      <c r="FL2" s="240" t="s">
        <v>21</v>
      </c>
      <c r="FM2" s="241"/>
      <c r="FN2" s="241"/>
      <c r="FO2" s="241"/>
      <c r="FP2" s="242"/>
      <c r="FQ2" s="240" t="s">
        <v>22</v>
      </c>
      <c r="FR2" s="241"/>
      <c r="FS2" s="241"/>
      <c r="FT2" s="241"/>
      <c r="FU2" s="242"/>
      <c r="FV2" s="240" t="s">
        <v>23</v>
      </c>
      <c r="FW2" s="241"/>
      <c r="FX2" s="241"/>
      <c r="FY2" s="241"/>
      <c r="FZ2" s="242"/>
      <c r="GA2" s="240" t="s">
        <v>21</v>
      </c>
      <c r="GB2" s="241"/>
      <c r="GC2" s="241"/>
      <c r="GD2" s="241"/>
      <c r="GE2" s="242"/>
      <c r="GF2" s="240" t="s">
        <v>22</v>
      </c>
      <c r="GG2" s="241"/>
      <c r="GH2" s="241"/>
      <c r="GI2" s="241"/>
      <c r="GJ2" s="242"/>
      <c r="GK2" s="240" t="s">
        <v>23</v>
      </c>
      <c r="GL2" s="241"/>
      <c r="GM2" s="241"/>
      <c r="GN2" s="241"/>
      <c r="GO2" s="242"/>
      <c r="GP2" s="240" t="s">
        <v>21</v>
      </c>
      <c r="GQ2" s="241"/>
      <c r="GR2" s="241"/>
      <c r="GS2" s="241"/>
      <c r="GT2" s="242"/>
      <c r="GU2" s="240" t="s">
        <v>22</v>
      </c>
      <c r="GV2" s="241"/>
      <c r="GW2" s="241"/>
      <c r="GX2" s="241"/>
      <c r="GY2" s="242"/>
      <c r="GZ2" s="240" t="s">
        <v>23</v>
      </c>
      <c r="HA2" s="241"/>
      <c r="HB2" s="241"/>
      <c r="HC2" s="241"/>
      <c r="HD2" s="242"/>
      <c r="HE2" s="240" t="s">
        <v>21</v>
      </c>
      <c r="HF2" s="241"/>
      <c r="HG2" s="241"/>
      <c r="HH2" s="241"/>
      <c r="HI2" s="242"/>
      <c r="HJ2" s="240" t="s">
        <v>22</v>
      </c>
      <c r="HK2" s="241"/>
      <c r="HL2" s="241"/>
      <c r="HM2" s="241"/>
      <c r="HN2" s="242"/>
      <c r="HO2" s="240" t="s">
        <v>23</v>
      </c>
      <c r="HP2" s="241"/>
      <c r="HQ2" s="241"/>
      <c r="HR2" s="241"/>
      <c r="HS2" s="242"/>
      <c r="HT2" s="240" t="s">
        <v>21</v>
      </c>
      <c r="HU2" s="241"/>
      <c r="HV2" s="241"/>
      <c r="HW2" s="241"/>
      <c r="HX2" s="242"/>
      <c r="HY2" s="240" t="s">
        <v>22</v>
      </c>
      <c r="HZ2" s="241"/>
      <c r="IA2" s="241"/>
      <c r="IB2" s="241"/>
      <c r="IC2" s="242"/>
      <c r="ID2" s="240" t="s">
        <v>23</v>
      </c>
      <c r="IE2" s="241"/>
      <c r="IF2" s="241"/>
      <c r="IG2" s="241"/>
      <c r="IH2" s="242"/>
      <c r="II2" s="240" t="s">
        <v>21</v>
      </c>
      <c r="IJ2" s="241"/>
      <c r="IK2" s="241"/>
      <c r="IL2" s="241"/>
      <c r="IM2" s="242"/>
      <c r="IN2" s="240" t="s">
        <v>22</v>
      </c>
      <c r="IO2" s="241"/>
      <c r="IP2" s="241"/>
      <c r="IQ2" s="241"/>
      <c r="IR2" s="242"/>
      <c r="IS2" s="240" t="s">
        <v>23</v>
      </c>
      <c r="IT2" s="241"/>
      <c r="IU2" s="241"/>
      <c r="IV2" s="241"/>
    </row>
    <row r="3" spans="1:256" ht="15" customHeight="1" x14ac:dyDescent="0.25">
      <c r="A3" s="243"/>
      <c r="B3" s="244"/>
      <c r="C3" s="239" t="s">
        <v>7</v>
      </c>
      <c r="D3" s="239" t="s">
        <v>6</v>
      </c>
      <c r="E3" s="239" t="s">
        <v>8</v>
      </c>
      <c r="F3" s="239" t="s">
        <v>24</v>
      </c>
      <c r="G3" s="239"/>
      <c r="H3" s="239" t="s">
        <v>7</v>
      </c>
      <c r="I3" s="239" t="s">
        <v>6</v>
      </c>
      <c r="J3" s="239" t="s">
        <v>8</v>
      </c>
      <c r="K3" s="239" t="s">
        <v>24</v>
      </c>
      <c r="L3" s="239"/>
      <c r="M3" s="239" t="s">
        <v>7</v>
      </c>
      <c r="N3" s="239" t="s">
        <v>6</v>
      </c>
      <c r="O3" s="239" t="s">
        <v>8</v>
      </c>
      <c r="P3" s="239" t="s">
        <v>24</v>
      </c>
      <c r="Q3" s="239"/>
      <c r="R3" s="239" t="s">
        <v>7</v>
      </c>
      <c r="S3" s="239" t="s">
        <v>6</v>
      </c>
      <c r="T3" s="239" t="s">
        <v>8</v>
      </c>
      <c r="U3" s="239" t="s">
        <v>24</v>
      </c>
      <c r="V3" s="239"/>
      <c r="W3" s="239" t="s">
        <v>7</v>
      </c>
      <c r="X3" s="239" t="s">
        <v>6</v>
      </c>
      <c r="Y3" s="239" t="s">
        <v>8</v>
      </c>
      <c r="Z3" s="239" t="s">
        <v>24</v>
      </c>
      <c r="AA3" s="239"/>
      <c r="AB3" s="239" t="s">
        <v>7</v>
      </c>
      <c r="AC3" s="239" t="s">
        <v>6</v>
      </c>
      <c r="AD3" s="239" t="s">
        <v>8</v>
      </c>
      <c r="AE3" s="239" t="s">
        <v>24</v>
      </c>
      <c r="AF3" s="239"/>
      <c r="AG3" s="239" t="s">
        <v>7</v>
      </c>
      <c r="AH3" s="239" t="s">
        <v>6</v>
      </c>
      <c r="AI3" s="239" t="s">
        <v>8</v>
      </c>
      <c r="AJ3" s="239" t="s">
        <v>24</v>
      </c>
      <c r="AK3" s="239"/>
      <c r="AL3" s="239" t="s">
        <v>7</v>
      </c>
      <c r="AM3" s="239" t="s">
        <v>6</v>
      </c>
      <c r="AN3" s="239" t="s">
        <v>8</v>
      </c>
      <c r="AO3" s="239" t="s">
        <v>24</v>
      </c>
      <c r="AP3" s="239"/>
      <c r="AQ3" s="239" t="s">
        <v>7</v>
      </c>
      <c r="AR3" s="239" t="s">
        <v>6</v>
      </c>
      <c r="AS3" s="239" t="s">
        <v>8</v>
      </c>
      <c r="AT3" s="239" t="s">
        <v>24</v>
      </c>
      <c r="AU3" s="239"/>
      <c r="AV3" s="239" t="s">
        <v>7</v>
      </c>
      <c r="AW3" s="239" t="s">
        <v>6</v>
      </c>
      <c r="AX3" s="239" t="s">
        <v>8</v>
      </c>
      <c r="AY3" s="239" t="s">
        <v>24</v>
      </c>
      <c r="AZ3" s="239"/>
      <c r="BA3" s="239" t="s">
        <v>7</v>
      </c>
      <c r="BB3" s="239" t="s">
        <v>6</v>
      </c>
      <c r="BC3" s="239" t="s">
        <v>8</v>
      </c>
      <c r="BD3" s="239" t="s">
        <v>24</v>
      </c>
      <c r="BE3" s="239"/>
      <c r="BF3" s="239" t="s">
        <v>7</v>
      </c>
      <c r="BG3" s="239" t="s">
        <v>6</v>
      </c>
      <c r="BH3" s="239" t="s">
        <v>8</v>
      </c>
      <c r="BI3" s="239" t="s">
        <v>24</v>
      </c>
      <c r="BJ3" s="239"/>
      <c r="BK3" s="239" t="s">
        <v>7</v>
      </c>
      <c r="BL3" s="239" t="s">
        <v>6</v>
      </c>
      <c r="BM3" s="239" t="s">
        <v>8</v>
      </c>
      <c r="BN3" s="239" t="s">
        <v>24</v>
      </c>
      <c r="BO3" s="239"/>
      <c r="BP3" s="239" t="s">
        <v>7</v>
      </c>
      <c r="BQ3" s="239" t="s">
        <v>6</v>
      </c>
      <c r="BR3" s="239" t="s">
        <v>8</v>
      </c>
      <c r="BS3" s="239" t="s">
        <v>24</v>
      </c>
      <c r="BT3" s="239"/>
      <c r="BU3" s="239" t="s">
        <v>7</v>
      </c>
      <c r="BV3" s="239" t="s">
        <v>6</v>
      </c>
      <c r="BW3" s="239" t="s">
        <v>8</v>
      </c>
      <c r="BX3" s="239" t="s">
        <v>24</v>
      </c>
      <c r="BY3" s="239"/>
      <c r="BZ3" s="239" t="s">
        <v>7</v>
      </c>
      <c r="CA3" s="239" t="s">
        <v>6</v>
      </c>
      <c r="CB3" s="239" t="s">
        <v>8</v>
      </c>
      <c r="CC3" s="239" t="s">
        <v>24</v>
      </c>
      <c r="CD3" s="239"/>
      <c r="CE3" s="239" t="s">
        <v>7</v>
      </c>
      <c r="CF3" s="239" t="s">
        <v>6</v>
      </c>
      <c r="CG3" s="239" t="s">
        <v>8</v>
      </c>
      <c r="CH3" s="239" t="s">
        <v>24</v>
      </c>
      <c r="CI3" s="239"/>
      <c r="CJ3" s="239" t="s">
        <v>7</v>
      </c>
      <c r="CK3" s="239" t="s">
        <v>6</v>
      </c>
      <c r="CL3" s="239" t="s">
        <v>8</v>
      </c>
      <c r="CM3" s="239" t="s">
        <v>24</v>
      </c>
      <c r="CN3" s="239"/>
      <c r="CO3" s="239" t="s">
        <v>7</v>
      </c>
      <c r="CP3" s="239" t="s">
        <v>6</v>
      </c>
      <c r="CQ3" s="239" t="s">
        <v>8</v>
      </c>
      <c r="CR3" s="239" t="s">
        <v>24</v>
      </c>
      <c r="CS3" s="239"/>
      <c r="CT3" s="239" t="s">
        <v>7</v>
      </c>
      <c r="CU3" s="239" t="s">
        <v>6</v>
      </c>
      <c r="CV3" s="239" t="s">
        <v>8</v>
      </c>
      <c r="CW3" s="239" t="s">
        <v>24</v>
      </c>
      <c r="CX3" s="239"/>
      <c r="CY3" s="239" t="s">
        <v>7</v>
      </c>
      <c r="CZ3" s="239" t="s">
        <v>6</v>
      </c>
      <c r="DA3" s="239" t="s">
        <v>8</v>
      </c>
      <c r="DB3" s="239" t="s">
        <v>24</v>
      </c>
      <c r="DC3" s="239"/>
      <c r="DD3" s="239" t="s">
        <v>7</v>
      </c>
      <c r="DE3" s="239" t="s">
        <v>6</v>
      </c>
      <c r="DF3" s="239" t="s">
        <v>8</v>
      </c>
      <c r="DG3" s="239" t="s">
        <v>24</v>
      </c>
      <c r="DH3" s="239"/>
      <c r="DI3" s="239" t="s">
        <v>7</v>
      </c>
      <c r="DJ3" s="239" t="s">
        <v>6</v>
      </c>
      <c r="DK3" s="239" t="s">
        <v>8</v>
      </c>
      <c r="DL3" s="239" t="s">
        <v>24</v>
      </c>
      <c r="DM3" s="239"/>
      <c r="DN3" s="239" t="s">
        <v>7</v>
      </c>
      <c r="DO3" s="239" t="s">
        <v>6</v>
      </c>
      <c r="DP3" s="239" t="s">
        <v>8</v>
      </c>
      <c r="DQ3" s="239" t="s">
        <v>24</v>
      </c>
      <c r="DR3" s="239"/>
      <c r="DS3" s="245" t="s">
        <v>7</v>
      </c>
      <c r="DT3" s="245" t="s">
        <v>6</v>
      </c>
      <c r="DU3" s="245" t="s">
        <v>8</v>
      </c>
      <c r="DV3" s="247" t="s">
        <v>24</v>
      </c>
      <c r="DW3" s="248"/>
      <c r="DX3" s="245" t="s">
        <v>7</v>
      </c>
      <c r="DY3" s="245" t="s">
        <v>6</v>
      </c>
      <c r="DZ3" s="245" t="s">
        <v>8</v>
      </c>
      <c r="EA3" s="247" t="s">
        <v>24</v>
      </c>
      <c r="EB3" s="248"/>
      <c r="EC3" s="245" t="s">
        <v>7</v>
      </c>
      <c r="ED3" s="245" t="s">
        <v>6</v>
      </c>
      <c r="EE3" s="245" t="s">
        <v>8</v>
      </c>
      <c r="EF3" s="247" t="s">
        <v>24</v>
      </c>
      <c r="EG3" s="248"/>
      <c r="EH3" s="239" t="s">
        <v>7</v>
      </c>
      <c r="EI3" s="239" t="s">
        <v>6</v>
      </c>
      <c r="EJ3" s="239" t="s">
        <v>8</v>
      </c>
      <c r="EK3" s="239" t="s">
        <v>24</v>
      </c>
      <c r="EL3" s="239"/>
      <c r="EM3" s="239" t="s">
        <v>7</v>
      </c>
      <c r="EN3" s="239" t="s">
        <v>6</v>
      </c>
      <c r="EO3" s="239" t="s">
        <v>8</v>
      </c>
      <c r="EP3" s="239" t="s">
        <v>24</v>
      </c>
      <c r="EQ3" s="239"/>
      <c r="ER3" s="239" t="s">
        <v>7</v>
      </c>
      <c r="ES3" s="239" t="s">
        <v>6</v>
      </c>
      <c r="ET3" s="239" t="s">
        <v>8</v>
      </c>
      <c r="EU3" s="239" t="s">
        <v>24</v>
      </c>
      <c r="EV3" s="239"/>
      <c r="EW3" s="239" t="s">
        <v>7</v>
      </c>
      <c r="EX3" s="239" t="s">
        <v>6</v>
      </c>
      <c r="EY3" s="239" t="s">
        <v>8</v>
      </c>
      <c r="EZ3" s="239" t="s">
        <v>24</v>
      </c>
      <c r="FA3" s="239"/>
      <c r="FB3" s="239" t="s">
        <v>7</v>
      </c>
      <c r="FC3" s="239" t="s">
        <v>6</v>
      </c>
      <c r="FD3" s="239" t="s">
        <v>8</v>
      </c>
      <c r="FE3" s="239" t="s">
        <v>24</v>
      </c>
      <c r="FF3" s="239"/>
      <c r="FG3" s="239" t="s">
        <v>7</v>
      </c>
      <c r="FH3" s="239" t="s">
        <v>6</v>
      </c>
      <c r="FI3" s="239" t="s">
        <v>8</v>
      </c>
      <c r="FJ3" s="239" t="s">
        <v>24</v>
      </c>
      <c r="FK3" s="239"/>
      <c r="FL3" s="239" t="s">
        <v>7</v>
      </c>
      <c r="FM3" s="239" t="s">
        <v>6</v>
      </c>
      <c r="FN3" s="239" t="s">
        <v>8</v>
      </c>
      <c r="FO3" s="239" t="s">
        <v>24</v>
      </c>
      <c r="FP3" s="239"/>
      <c r="FQ3" s="239" t="s">
        <v>7</v>
      </c>
      <c r="FR3" s="239" t="s">
        <v>6</v>
      </c>
      <c r="FS3" s="239" t="s">
        <v>8</v>
      </c>
      <c r="FT3" s="239" t="s">
        <v>24</v>
      </c>
      <c r="FU3" s="239"/>
      <c r="FV3" s="239" t="s">
        <v>7</v>
      </c>
      <c r="FW3" s="239" t="s">
        <v>6</v>
      </c>
      <c r="FX3" s="239" t="s">
        <v>8</v>
      </c>
      <c r="FY3" s="239" t="s">
        <v>24</v>
      </c>
      <c r="FZ3" s="239"/>
      <c r="GA3" s="239" t="s">
        <v>7</v>
      </c>
      <c r="GB3" s="239" t="s">
        <v>6</v>
      </c>
      <c r="GC3" s="239" t="s">
        <v>8</v>
      </c>
      <c r="GD3" s="239" t="s">
        <v>24</v>
      </c>
      <c r="GE3" s="239"/>
      <c r="GF3" s="239" t="s">
        <v>7</v>
      </c>
      <c r="GG3" s="239" t="s">
        <v>6</v>
      </c>
      <c r="GH3" s="239" t="s">
        <v>8</v>
      </c>
      <c r="GI3" s="239" t="s">
        <v>24</v>
      </c>
      <c r="GJ3" s="239"/>
      <c r="GK3" s="239" t="s">
        <v>7</v>
      </c>
      <c r="GL3" s="239" t="s">
        <v>6</v>
      </c>
      <c r="GM3" s="239" t="s">
        <v>8</v>
      </c>
      <c r="GN3" s="239" t="s">
        <v>24</v>
      </c>
      <c r="GO3" s="239"/>
      <c r="GP3" s="239" t="s">
        <v>7</v>
      </c>
      <c r="GQ3" s="239" t="s">
        <v>6</v>
      </c>
      <c r="GR3" s="239" t="s">
        <v>8</v>
      </c>
      <c r="GS3" s="239" t="s">
        <v>24</v>
      </c>
      <c r="GT3" s="239"/>
      <c r="GU3" s="239" t="s">
        <v>7</v>
      </c>
      <c r="GV3" s="239" t="s">
        <v>6</v>
      </c>
      <c r="GW3" s="239" t="s">
        <v>8</v>
      </c>
      <c r="GX3" s="239" t="s">
        <v>24</v>
      </c>
      <c r="GY3" s="239"/>
      <c r="GZ3" s="239" t="s">
        <v>7</v>
      </c>
      <c r="HA3" s="239" t="s">
        <v>6</v>
      </c>
      <c r="HB3" s="239" t="s">
        <v>8</v>
      </c>
      <c r="HC3" s="239" t="s">
        <v>24</v>
      </c>
      <c r="HD3" s="239"/>
      <c r="HE3" s="239" t="s">
        <v>7</v>
      </c>
      <c r="HF3" s="239" t="s">
        <v>6</v>
      </c>
      <c r="HG3" s="239" t="s">
        <v>8</v>
      </c>
      <c r="HH3" s="239" t="s">
        <v>24</v>
      </c>
      <c r="HI3" s="239"/>
      <c r="HJ3" s="239" t="s">
        <v>7</v>
      </c>
      <c r="HK3" s="239" t="s">
        <v>6</v>
      </c>
      <c r="HL3" s="239" t="s">
        <v>8</v>
      </c>
      <c r="HM3" s="239" t="s">
        <v>24</v>
      </c>
      <c r="HN3" s="239"/>
      <c r="HO3" s="239" t="s">
        <v>7</v>
      </c>
      <c r="HP3" s="239" t="s">
        <v>6</v>
      </c>
      <c r="HQ3" s="239" t="s">
        <v>8</v>
      </c>
      <c r="HR3" s="239" t="s">
        <v>24</v>
      </c>
      <c r="HS3" s="239"/>
      <c r="HT3" s="239" t="s">
        <v>7</v>
      </c>
      <c r="HU3" s="239" t="s">
        <v>6</v>
      </c>
      <c r="HV3" s="239" t="s">
        <v>8</v>
      </c>
      <c r="HW3" s="239" t="s">
        <v>24</v>
      </c>
      <c r="HX3" s="239"/>
      <c r="HY3" s="239" t="s">
        <v>7</v>
      </c>
      <c r="HZ3" s="239" t="s">
        <v>6</v>
      </c>
      <c r="IA3" s="239" t="s">
        <v>8</v>
      </c>
      <c r="IB3" s="239" t="s">
        <v>24</v>
      </c>
      <c r="IC3" s="239"/>
      <c r="ID3" s="239" t="s">
        <v>7</v>
      </c>
      <c r="IE3" s="239" t="s">
        <v>6</v>
      </c>
      <c r="IF3" s="239" t="s">
        <v>8</v>
      </c>
      <c r="IG3" s="239" t="s">
        <v>24</v>
      </c>
      <c r="IH3" s="239"/>
      <c r="II3" s="239" t="s">
        <v>7</v>
      </c>
      <c r="IJ3" s="239" t="s">
        <v>6</v>
      </c>
      <c r="IK3" s="239" t="s">
        <v>8</v>
      </c>
      <c r="IL3" s="239" t="s">
        <v>24</v>
      </c>
      <c r="IM3" s="239"/>
      <c r="IN3" s="239" t="s">
        <v>7</v>
      </c>
      <c r="IO3" s="239" t="s">
        <v>6</v>
      </c>
      <c r="IP3" s="239" t="s">
        <v>8</v>
      </c>
      <c r="IQ3" s="239" t="s">
        <v>24</v>
      </c>
      <c r="IR3" s="239"/>
      <c r="IS3" s="239" t="s">
        <v>7</v>
      </c>
      <c r="IT3" s="239" t="s">
        <v>6</v>
      </c>
      <c r="IU3" s="239" t="s">
        <v>8</v>
      </c>
      <c r="IV3" s="239" t="s">
        <v>24</v>
      </c>
    </row>
    <row r="4" spans="1:256" ht="15" customHeight="1" x14ac:dyDescent="0.25">
      <c r="A4" s="243"/>
      <c r="B4" s="244"/>
      <c r="C4" s="239"/>
      <c r="D4" s="239"/>
      <c r="E4" s="239"/>
      <c r="F4" s="18" t="s">
        <v>10</v>
      </c>
      <c r="G4" s="18" t="s">
        <v>11</v>
      </c>
      <c r="H4" s="239"/>
      <c r="I4" s="239"/>
      <c r="J4" s="239"/>
      <c r="K4" s="18" t="s">
        <v>10</v>
      </c>
      <c r="L4" s="18" t="s">
        <v>11</v>
      </c>
      <c r="M4" s="239"/>
      <c r="N4" s="239"/>
      <c r="O4" s="239"/>
      <c r="P4" s="18" t="s">
        <v>10</v>
      </c>
      <c r="Q4" s="18" t="s">
        <v>11</v>
      </c>
      <c r="R4" s="239"/>
      <c r="S4" s="239"/>
      <c r="T4" s="239"/>
      <c r="U4" s="18" t="s">
        <v>10</v>
      </c>
      <c r="V4" s="18" t="s">
        <v>11</v>
      </c>
      <c r="W4" s="239"/>
      <c r="X4" s="239"/>
      <c r="Y4" s="239"/>
      <c r="Z4" s="18" t="s">
        <v>10</v>
      </c>
      <c r="AA4" s="18" t="s">
        <v>11</v>
      </c>
      <c r="AB4" s="239"/>
      <c r="AC4" s="239"/>
      <c r="AD4" s="239"/>
      <c r="AE4" s="18" t="s">
        <v>10</v>
      </c>
      <c r="AF4" s="18" t="s">
        <v>11</v>
      </c>
      <c r="AG4" s="239"/>
      <c r="AH4" s="239"/>
      <c r="AI4" s="239"/>
      <c r="AJ4" s="18" t="s">
        <v>10</v>
      </c>
      <c r="AK4" s="18" t="s">
        <v>11</v>
      </c>
      <c r="AL4" s="239"/>
      <c r="AM4" s="239"/>
      <c r="AN4" s="239"/>
      <c r="AO4" s="18" t="s">
        <v>10</v>
      </c>
      <c r="AP4" s="18" t="s">
        <v>11</v>
      </c>
      <c r="AQ4" s="239"/>
      <c r="AR4" s="239"/>
      <c r="AS4" s="239"/>
      <c r="AT4" s="18" t="s">
        <v>10</v>
      </c>
      <c r="AU4" s="18" t="s">
        <v>11</v>
      </c>
      <c r="AV4" s="239"/>
      <c r="AW4" s="239"/>
      <c r="AX4" s="239"/>
      <c r="AY4" s="18" t="s">
        <v>10</v>
      </c>
      <c r="AZ4" s="18" t="s">
        <v>11</v>
      </c>
      <c r="BA4" s="239"/>
      <c r="BB4" s="239"/>
      <c r="BC4" s="239"/>
      <c r="BD4" s="18" t="s">
        <v>10</v>
      </c>
      <c r="BE4" s="18" t="s">
        <v>11</v>
      </c>
      <c r="BF4" s="239"/>
      <c r="BG4" s="239"/>
      <c r="BH4" s="239"/>
      <c r="BI4" s="18" t="s">
        <v>10</v>
      </c>
      <c r="BJ4" s="18" t="s">
        <v>11</v>
      </c>
      <c r="BK4" s="239"/>
      <c r="BL4" s="239"/>
      <c r="BM4" s="239"/>
      <c r="BN4" s="18" t="s">
        <v>10</v>
      </c>
      <c r="BO4" s="18" t="s">
        <v>11</v>
      </c>
      <c r="BP4" s="239"/>
      <c r="BQ4" s="239"/>
      <c r="BR4" s="239"/>
      <c r="BS4" s="18" t="s">
        <v>10</v>
      </c>
      <c r="BT4" s="18" t="s">
        <v>11</v>
      </c>
      <c r="BU4" s="239"/>
      <c r="BV4" s="239"/>
      <c r="BW4" s="239"/>
      <c r="BX4" s="18" t="s">
        <v>10</v>
      </c>
      <c r="BY4" s="18" t="s">
        <v>11</v>
      </c>
      <c r="BZ4" s="239"/>
      <c r="CA4" s="239"/>
      <c r="CB4" s="239"/>
      <c r="CC4" s="18" t="s">
        <v>10</v>
      </c>
      <c r="CD4" s="18" t="s">
        <v>11</v>
      </c>
      <c r="CE4" s="239"/>
      <c r="CF4" s="239"/>
      <c r="CG4" s="239"/>
      <c r="CH4" s="18" t="s">
        <v>10</v>
      </c>
      <c r="CI4" s="18" t="s">
        <v>11</v>
      </c>
      <c r="CJ4" s="239"/>
      <c r="CK4" s="239"/>
      <c r="CL4" s="239"/>
      <c r="CM4" s="18" t="s">
        <v>10</v>
      </c>
      <c r="CN4" s="18" t="s">
        <v>11</v>
      </c>
      <c r="CO4" s="239"/>
      <c r="CP4" s="239"/>
      <c r="CQ4" s="239"/>
      <c r="CR4" s="18" t="s">
        <v>10</v>
      </c>
      <c r="CS4" s="18" t="s">
        <v>11</v>
      </c>
      <c r="CT4" s="239"/>
      <c r="CU4" s="239"/>
      <c r="CV4" s="239"/>
      <c r="CW4" s="18" t="s">
        <v>10</v>
      </c>
      <c r="CX4" s="18" t="s">
        <v>11</v>
      </c>
      <c r="CY4" s="239"/>
      <c r="CZ4" s="239"/>
      <c r="DA4" s="239"/>
      <c r="DB4" s="18" t="s">
        <v>10</v>
      </c>
      <c r="DC4" s="18" t="s">
        <v>11</v>
      </c>
      <c r="DD4" s="239"/>
      <c r="DE4" s="239"/>
      <c r="DF4" s="239"/>
      <c r="DG4" s="18" t="s">
        <v>10</v>
      </c>
      <c r="DH4" s="18" t="s">
        <v>11</v>
      </c>
      <c r="DI4" s="239"/>
      <c r="DJ4" s="239"/>
      <c r="DK4" s="239"/>
      <c r="DL4" s="18" t="s">
        <v>10</v>
      </c>
      <c r="DM4" s="18" t="s">
        <v>11</v>
      </c>
      <c r="DN4" s="239"/>
      <c r="DO4" s="239"/>
      <c r="DP4" s="239"/>
      <c r="DQ4" s="18" t="s">
        <v>10</v>
      </c>
      <c r="DR4" s="18" t="s">
        <v>11</v>
      </c>
      <c r="DS4" s="246"/>
      <c r="DT4" s="246"/>
      <c r="DU4" s="246"/>
      <c r="DV4" s="18" t="s">
        <v>10</v>
      </c>
      <c r="DW4" s="18" t="s">
        <v>11</v>
      </c>
      <c r="DX4" s="246"/>
      <c r="DY4" s="246"/>
      <c r="DZ4" s="246"/>
      <c r="EA4" s="18" t="s">
        <v>10</v>
      </c>
      <c r="EB4" s="18" t="s">
        <v>11</v>
      </c>
      <c r="EC4" s="246"/>
      <c r="ED4" s="246"/>
      <c r="EE4" s="246"/>
      <c r="EF4" s="18" t="s">
        <v>10</v>
      </c>
      <c r="EG4" s="18" t="s">
        <v>11</v>
      </c>
      <c r="EH4" s="239"/>
      <c r="EI4" s="239"/>
      <c r="EJ4" s="239"/>
      <c r="EK4" s="18" t="s">
        <v>10</v>
      </c>
      <c r="EL4" s="18" t="s">
        <v>11</v>
      </c>
      <c r="EM4" s="239"/>
      <c r="EN4" s="239"/>
      <c r="EO4" s="239"/>
      <c r="EP4" s="18" t="s">
        <v>10</v>
      </c>
      <c r="EQ4" s="18" t="s">
        <v>11</v>
      </c>
      <c r="ER4" s="239"/>
      <c r="ES4" s="239"/>
      <c r="ET4" s="239"/>
      <c r="EU4" s="18" t="s">
        <v>10</v>
      </c>
      <c r="EV4" s="18" t="s">
        <v>11</v>
      </c>
      <c r="EW4" s="239"/>
      <c r="EX4" s="239"/>
      <c r="EY4" s="239"/>
      <c r="EZ4" s="18" t="s">
        <v>10</v>
      </c>
      <c r="FA4" s="18" t="s">
        <v>11</v>
      </c>
      <c r="FB4" s="239"/>
      <c r="FC4" s="239"/>
      <c r="FD4" s="239"/>
      <c r="FE4" s="18" t="s">
        <v>10</v>
      </c>
      <c r="FF4" s="18" t="s">
        <v>11</v>
      </c>
      <c r="FG4" s="239"/>
      <c r="FH4" s="239"/>
      <c r="FI4" s="239"/>
      <c r="FJ4" s="18" t="s">
        <v>10</v>
      </c>
      <c r="FK4" s="18" t="s">
        <v>11</v>
      </c>
      <c r="FL4" s="239"/>
      <c r="FM4" s="239"/>
      <c r="FN4" s="239"/>
      <c r="FO4" s="18" t="s">
        <v>10</v>
      </c>
      <c r="FP4" s="18" t="s">
        <v>11</v>
      </c>
      <c r="FQ4" s="239"/>
      <c r="FR4" s="239"/>
      <c r="FS4" s="239"/>
      <c r="FT4" s="18" t="s">
        <v>10</v>
      </c>
      <c r="FU4" s="18" t="s">
        <v>11</v>
      </c>
      <c r="FV4" s="239"/>
      <c r="FW4" s="239"/>
      <c r="FX4" s="239"/>
      <c r="FY4" s="18" t="s">
        <v>10</v>
      </c>
      <c r="FZ4" s="18" t="s">
        <v>11</v>
      </c>
      <c r="GA4" s="239"/>
      <c r="GB4" s="239"/>
      <c r="GC4" s="239"/>
      <c r="GD4" s="18" t="s">
        <v>10</v>
      </c>
      <c r="GE4" s="18" t="s">
        <v>11</v>
      </c>
      <c r="GF4" s="239"/>
      <c r="GG4" s="239"/>
      <c r="GH4" s="239"/>
      <c r="GI4" s="18" t="s">
        <v>10</v>
      </c>
      <c r="GJ4" s="18" t="s">
        <v>11</v>
      </c>
      <c r="GK4" s="239"/>
      <c r="GL4" s="239"/>
      <c r="GM4" s="239"/>
      <c r="GN4" s="18" t="s">
        <v>10</v>
      </c>
      <c r="GO4" s="18" t="s">
        <v>11</v>
      </c>
      <c r="GP4" s="239"/>
      <c r="GQ4" s="239"/>
      <c r="GR4" s="239"/>
      <c r="GS4" s="18" t="s">
        <v>10</v>
      </c>
      <c r="GT4" s="18" t="s">
        <v>11</v>
      </c>
      <c r="GU4" s="239"/>
      <c r="GV4" s="239"/>
      <c r="GW4" s="239"/>
      <c r="GX4" s="18" t="s">
        <v>10</v>
      </c>
      <c r="GY4" s="18" t="s">
        <v>11</v>
      </c>
      <c r="GZ4" s="239"/>
      <c r="HA4" s="239"/>
      <c r="HB4" s="239"/>
      <c r="HC4" s="18" t="s">
        <v>10</v>
      </c>
      <c r="HD4" s="18" t="s">
        <v>11</v>
      </c>
      <c r="HE4" s="239"/>
      <c r="HF4" s="239"/>
      <c r="HG4" s="239"/>
      <c r="HH4" s="18" t="s">
        <v>10</v>
      </c>
      <c r="HI4" s="18" t="s">
        <v>11</v>
      </c>
      <c r="HJ4" s="239"/>
      <c r="HK4" s="239"/>
      <c r="HL4" s="239"/>
      <c r="HM4" s="18" t="s">
        <v>10</v>
      </c>
      <c r="HN4" s="18" t="s">
        <v>11</v>
      </c>
      <c r="HO4" s="239"/>
      <c r="HP4" s="239"/>
      <c r="HQ4" s="239"/>
      <c r="HR4" s="18" t="s">
        <v>10</v>
      </c>
      <c r="HS4" s="18" t="s">
        <v>11</v>
      </c>
      <c r="HT4" s="239"/>
      <c r="HU4" s="239"/>
      <c r="HV4" s="239"/>
      <c r="HW4" s="18" t="s">
        <v>10</v>
      </c>
      <c r="HX4" s="18" t="s">
        <v>11</v>
      </c>
      <c r="HY4" s="239"/>
      <c r="HZ4" s="239"/>
      <c r="IA4" s="239"/>
      <c r="IB4" s="18" t="s">
        <v>10</v>
      </c>
      <c r="IC4" s="18" t="s">
        <v>11</v>
      </c>
      <c r="ID4" s="239"/>
      <c r="IE4" s="239"/>
      <c r="IF4" s="239"/>
      <c r="IG4" s="18" t="s">
        <v>10</v>
      </c>
      <c r="IH4" s="18" t="s">
        <v>11</v>
      </c>
      <c r="II4" s="239"/>
      <c r="IJ4" s="239"/>
      <c r="IK4" s="239"/>
      <c r="IL4" s="18" t="s">
        <v>10</v>
      </c>
      <c r="IM4" s="18" t="s">
        <v>11</v>
      </c>
      <c r="IN4" s="239"/>
      <c r="IO4" s="239"/>
      <c r="IP4" s="239"/>
      <c r="IQ4" s="18" t="s">
        <v>10</v>
      </c>
      <c r="IR4" s="18" t="s">
        <v>11</v>
      </c>
      <c r="IS4" s="239"/>
      <c r="IT4" s="239"/>
      <c r="IU4" s="239"/>
      <c r="IV4" s="18" t="s">
        <v>10</v>
      </c>
    </row>
    <row r="5" spans="1:256" x14ac:dyDescent="0.2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</row>
    <row r="6" spans="1:256" x14ac:dyDescent="0.25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</row>
    <row r="7" spans="1:256" x14ac:dyDescent="0.25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</row>
    <row r="8" spans="1:256" s="22" customFormat="1" ht="12.75" x14ac:dyDescent="0.2">
      <c r="A8" s="16" t="s">
        <v>15</v>
      </c>
      <c r="B8" s="17" t="s">
        <v>41</v>
      </c>
      <c r="C8" s="20"/>
      <c r="D8" s="20"/>
      <c r="E8" s="20"/>
      <c r="F8" s="14"/>
      <c r="G8" s="15"/>
      <c r="H8" s="20"/>
      <c r="I8" s="20"/>
      <c r="J8" s="20"/>
      <c r="K8" s="14"/>
      <c r="L8" s="15"/>
      <c r="M8" s="20"/>
      <c r="N8" s="20"/>
      <c r="O8" s="20"/>
      <c r="P8" s="14"/>
      <c r="Q8" s="15"/>
      <c r="R8" s="20"/>
      <c r="S8" s="20"/>
      <c r="T8" s="20"/>
      <c r="U8" s="14"/>
      <c r="V8" s="15"/>
      <c r="W8" s="20"/>
      <c r="X8" s="20"/>
      <c r="Y8" s="20"/>
      <c r="Z8" s="14"/>
      <c r="AA8" s="15"/>
      <c r="AB8" s="20"/>
      <c r="AC8" s="20"/>
      <c r="AD8" s="20"/>
      <c r="AE8" s="14"/>
      <c r="AF8" s="15"/>
      <c r="AG8" s="20"/>
      <c r="AH8" s="20"/>
      <c r="AI8" s="20"/>
      <c r="AJ8" s="14"/>
      <c r="AK8" s="15"/>
      <c r="AL8" s="20"/>
      <c r="AM8" s="20"/>
      <c r="AN8" s="20"/>
      <c r="AO8" s="14"/>
      <c r="AP8" s="15"/>
      <c r="AQ8" s="20"/>
      <c r="AR8" s="20"/>
      <c r="AS8" s="20"/>
      <c r="AT8" s="14"/>
      <c r="AU8" s="15"/>
      <c r="AV8" s="20"/>
      <c r="AW8" s="20"/>
      <c r="AX8" s="20"/>
      <c r="AY8" s="14"/>
      <c r="AZ8" s="15"/>
      <c r="BA8" s="20"/>
      <c r="BB8" s="20"/>
      <c r="BC8" s="20"/>
      <c r="BD8" s="14"/>
      <c r="BE8" s="15"/>
      <c r="BF8" s="20"/>
      <c r="BG8" s="20"/>
      <c r="BH8" s="20"/>
      <c r="BI8" s="14"/>
      <c r="BJ8" s="15"/>
      <c r="BK8" s="20"/>
      <c r="BL8" s="20"/>
      <c r="BM8" s="20"/>
      <c r="BN8" s="14"/>
      <c r="BO8" s="15"/>
      <c r="BP8" s="20"/>
      <c r="BQ8" s="20"/>
      <c r="BR8" s="20"/>
      <c r="BS8" s="14"/>
      <c r="BT8" s="15"/>
      <c r="BU8" s="20"/>
      <c r="BV8" s="20"/>
      <c r="BW8" s="20"/>
      <c r="BX8" s="14"/>
      <c r="BY8" s="15"/>
      <c r="BZ8" s="20"/>
      <c r="CA8" s="20"/>
      <c r="CB8" s="20"/>
      <c r="CC8" s="14"/>
      <c r="CD8" s="15"/>
      <c r="CE8" s="20"/>
      <c r="CF8" s="20"/>
      <c r="CG8" s="20"/>
      <c r="CH8" s="14"/>
      <c r="CI8" s="15"/>
      <c r="CJ8" s="20"/>
      <c r="CK8" s="20"/>
      <c r="CL8" s="20"/>
      <c r="CM8" s="14"/>
      <c r="CN8" s="15"/>
      <c r="CO8" s="20"/>
      <c r="CP8" s="20"/>
      <c r="CQ8" s="20"/>
      <c r="CR8" s="14"/>
      <c r="CS8" s="15"/>
      <c r="CT8" s="20"/>
      <c r="CU8" s="20"/>
      <c r="CV8" s="20"/>
      <c r="CW8" s="14"/>
      <c r="CX8" s="15"/>
      <c r="CY8" s="20"/>
      <c r="CZ8" s="20"/>
      <c r="DA8" s="20"/>
      <c r="DB8" s="14"/>
      <c r="DC8" s="15"/>
      <c r="DD8" s="20"/>
      <c r="DE8" s="20"/>
      <c r="DF8" s="20"/>
      <c r="DG8" s="14"/>
      <c r="DH8" s="15"/>
      <c r="DI8" s="20"/>
      <c r="DJ8" s="20"/>
      <c r="DK8" s="20"/>
      <c r="DL8" s="14"/>
      <c r="DM8" s="15"/>
      <c r="DN8" s="20"/>
      <c r="DO8" s="20"/>
      <c r="DP8" s="20"/>
      <c r="DQ8" s="14"/>
      <c r="DR8" s="15"/>
      <c r="DS8" s="20"/>
      <c r="DT8" s="20"/>
      <c r="DU8" s="20"/>
      <c r="DV8" s="14"/>
      <c r="DW8" s="15"/>
      <c r="DX8" s="20"/>
      <c r="DY8" s="20"/>
      <c r="DZ8" s="20"/>
      <c r="EA8" s="14"/>
      <c r="EB8" s="15"/>
      <c r="EC8" s="20"/>
      <c r="ED8" s="20"/>
      <c r="EE8" s="20"/>
      <c r="EF8" s="14"/>
      <c r="EG8" s="15"/>
      <c r="EH8" s="20"/>
      <c r="EI8" s="20"/>
      <c r="EJ8" s="20"/>
      <c r="EK8" s="14"/>
      <c r="EL8" s="15"/>
      <c r="EM8" s="20"/>
      <c r="EN8" s="20"/>
      <c r="EO8" s="20"/>
      <c r="EP8" s="14"/>
      <c r="EQ8" s="15"/>
      <c r="ER8" s="20"/>
      <c r="ES8" s="20"/>
      <c r="ET8" s="20"/>
      <c r="EU8" s="14"/>
      <c r="EV8" s="15"/>
      <c r="EW8" s="20"/>
      <c r="EX8" s="20"/>
      <c r="EY8" s="20"/>
      <c r="EZ8" s="14"/>
      <c r="FA8" s="15"/>
      <c r="FB8" s="20"/>
      <c r="FC8" s="20"/>
      <c r="FD8" s="20"/>
      <c r="FE8" s="14"/>
      <c r="FF8" s="15"/>
      <c r="FG8" s="20"/>
      <c r="FH8" s="20"/>
      <c r="FI8" s="20"/>
      <c r="FJ8" s="14"/>
      <c r="FK8" s="15"/>
      <c r="FL8" s="20"/>
      <c r="FM8" s="20"/>
      <c r="FN8" s="20"/>
      <c r="FO8" s="14"/>
      <c r="FP8" s="15"/>
      <c r="FQ8" s="20"/>
      <c r="FR8" s="20"/>
      <c r="FS8" s="20"/>
      <c r="FT8" s="14"/>
      <c r="FU8" s="15"/>
      <c r="FV8" s="20"/>
      <c r="FW8" s="20"/>
      <c r="FX8" s="20"/>
      <c r="FY8" s="14"/>
      <c r="FZ8" s="15"/>
      <c r="GA8" s="20"/>
      <c r="GB8" s="20"/>
      <c r="GC8" s="20"/>
      <c r="GD8" s="14"/>
      <c r="GE8" s="15"/>
      <c r="GF8" s="20"/>
      <c r="GG8" s="20"/>
      <c r="GH8" s="20"/>
      <c r="GI8" s="14"/>
      <c r="GJ8" s="15"/>
      <c r="GK8" s="20"/>
      <c r="GL8" s="20"/>
      <c r="GM8" s="20"/>
      <c r="GN8" s="14"/>
      <c r="GO8" s="15"/>
      <c r="GP8" s="20"/>
      <c r="GQ8" s="20"/>
      <c r="GR8" s="20"/>
      <c r="GS8" s="14"/>
      <c r="GT8" s="15"/>
      <c r="GU8" s="20"/>
      <c r="GV8" s="20"/>
      <c r="GW8" s="20"/>
      <c r="GX8" s="14"/>
      <c r="GY8" s="15"/>
      <c r="GZ8" s="20"/>
      <c r="HA8" s="20"/>
      <c r="HB8" s="20"/>
      <c r="HC8" s="14"/>
      <c r="HD8" s="15"/>
      <c r="HE8" s="20"/>
      <c r="HF8" s="20"/>
      <c r="HG8" s="20"/>
      <c r="HH8" s="14"/>
      <c r="HI8" s="15"/>
      <c r="HJ8" s="20"/>
      <c r="HK8" s="20"/>
      <c r="HL8" s="20"/>
      <c r="HM8" s="14"/>
      <c r="HN8" s="15"/>
      <c r="HO8" s="20"/>
      <c r="HP8" s="20"/>
      <c r="HQ8" s="20"/>
      <c r="HR8" s="14"/>
      <c r="HS8" s="15"/>
      <c r="HT8" s="20"/>
      <c r="HU8" s="20"/>
      <c r="HV8" s="20"/>
      <c r="HW8" s="14"/>
      <c r="HX8" s="15"/>
      <c r="HY8" s="20"/>
      <c r="HZ8" s="20"/>
      <c r="IA8" s="20"/>
      <c r="IB8" s="14"/>
      <c r="IC8" s="15"/>
      <c r="ID8" s="20"/>
      <c r="IE8" s="20"/>
      <c r="IF8" s="20"/>
      <c r="IG8" s="14"/>
      <c r="IH8" s="15"/>
      <c r="II8" s="20"/>
      <c r="IJ8" s="20"/>
      <c r="IK8" s="20"/>
      <c r="IL8" s="14"/>
      <c r="IM8" s="15"/>
      <c r="IN8" s="20"/>
      <c r="IO8" s="20"/>
      <c r="IP8" s="20"/>
      <c r="IQ8" s="14"/>
      <c r="IR8" s="15"/>
      <c r="IS8" s="20"/>
      <c r="IT8" s="20"/>
      <c r="IU8" s="20"/>
      <c r="IV8" s="14"/>
    </row>
    <row r="9" spans="1:256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</row>
    <row r="10" spans="1:256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</row>
    <row r="14" spans="1:256" x14ac:dyDescent="0.25">
      <c r="H14" s="23" t="s">
        <v>42</v>
      </c>
      <c r="I14" s="24">
        <v>40</v>
      </c>
      <c r="J14" s="21" t="s">
        <v>47</v>
      </c>
    </row>
    <row r="15" spans="1:256" x14ac:dyDescent="0.25">
      <c r="A15" s="25" t="s">
        <v>43</v>
      </c>
      <c r="B15" s="26"/>
    </row>
    <row r="16" spans="1:256" x14ac:dyDescent="0.25">
      <c r="A16" s="27" t="s">
        <v>44</v>
      </c>
      <c r="B16" s="28" t="s">
        <v>19</v>
      </c>
    </row>
    <row r="17" spans="1:2" x14ac:dyDescent="0.25">
      <c r="A17" s="27" t="s">
        <v>45</v>
      </c>
      <c r="B17" s="26" t="s">
        <v>46</v>
      </c>
    </row>
  </sheetData>
  <sheetProtection sheet="1" objects="1" scenarios="1"/>
  <mergeCells count="274">
    <mergeCell ref="DF3:DF4"/>
    <mergeCell ref="DG3:DH3"/>
    <mergeCell ref="DK3:DK4"/>
    <mergeCell ref="DL3:DM3"/>
    <mergeCell ref="DN3:DN4"/>
    <mergeCell ref="DO3:DO4"/>
    <mergeCell ref="IN3:IN4"/>
    <mergeCell ref="IO3:IO4"/>
    <mergeCell ref="DP3:DP4"/>
    <mergeCell ref="DQ3:DR3"/>
    <mergeCell ref="HL3:HL4"/>
    <mergeCell ref="HM3:HN3"/>
    <mergeCell ref="HO3:HO4"/>
    <mergeCell ref="HP3:HP4"/>
    <mergeCell ref="HQ3:HQ4"/>
    <mergeCell ref="HR3:HS3"/>
    <mergeCell ref="HG3:HG4"/>
    <mergeCell ref="HH3:HI3"/>
    <mergeCell ref="GR3:GR4"/>
    <mergeCell ref="GS3:GT3"/>
    <mergeCell ref="GH3:GH4"/>
    <mergeCell ref="GI3:GJ3"/>
    <mergeCell ref="GK3:GK4"/>
    <mergeCell ref="GL3:GL4"/>
    <mergeCell ref="DD1:DR1"/>
    <mergeCell ref="DD2:DH2"/>
    <mergeCell ref="DI2:DM2"/>
    <mergeCell ref="DN2:DR2"/>
    <mergeCell ref="DD3:DD4"/>
    <mergeCell ref="DE3:DE4"/>
    <mergeCell ref="IU3:IU4"/>
    <mergeCell ref="IV3"/>
    <mergeCell ref="DI3:DI4"/>
    <mergeCell ref="DJ3:DJ4"/>
    <mergeCell ref="IP3:IP4"/>
    <mergeCell ref="IQ3:IR3"/>
    <mergeCell ref="II3:II4"/>
    <mergeCell ref="IJ3:IJ4"/>
    <mergeCell ref="IK3:IK4"/>
    <mergeCell ref="IL3:IM3"/>
    <mergeCell ref="IA3:IA4"/>
    <mergeCell ref="IB3:IC3"/>
    <mergeCell ref="ID3:ID4"/>
    <mergeCell ref="IE3:IE4"/>
    <mergeCell ref="II1:IV1"/>
    <mergeCell ref="II2:IM2"/>
    <mergeCell ref="IN2:IR2"/>
    <mergeCell ref="IS2:IV2"/>
    <mergeCell ref="GU3:GU4"/>
    <mergeCell ref="GV3:GV4"/>
    <mergeCell ref="IS3:IS4"/>
    <mergeCell ref="IT3:IT4"/>
    <mergeCell ref="IF3:IF4"/>
    <mergeCell ref="IG3:IH3"/>
    <mergeCell ref="HT1:IH1"/>
    <mergeCell ref="HT2:HX2"/>
    <mergeCell ref="HY2:IC2"/>
    <mergeCell ref="ID2:IH2"/>
    <mergeCell ref="HT3:HT4"/>
    <mergeCell ref="HU3:HU4"/>
    <mergeCell ref="HV3:HV4"/>
    <mergeCell ref="HW3:HX3"/>
    <mergeCell ref="HY3:HY4"/>
    <mergeCell ref="HZ3:HZ4"/>
    <mergeCell ref="GA1:GO1"/>
    <mergeCell ref="GA2:GE2"/>
    <mergeCell ref="GF2:GJ2"/>
    <mergeCell ref="GK2:GO2"/>
    <mergeCell ref="GF3:GF4"/>
    <mergeCell ref="GG3:GG4"/>
    <mergeCell ref="HE1:HS1"/>
    <mergeCell ref="HE2:HI2"/>
    <mergeCell ref="HJ2:HN2"/>
    <mergeCell ref="HO2:HS2"/>
    <mergeCell ref="HJ3:HJ4"/>
    <mergeCell ref="HK3:HK4"/>
    <mergeCell ref="GW3:GW4"/>
    <mergeCell ref="GX3:GY3"/>
    <mergeCell ref="GZ3:GZ4"/>
    <mergeCell ref="HA3:HA4"/>
    <mergeCell ref="HB3:HB4"/>
    <mergeCell ref="HC3:HD3"/>
    <mergeCell ref="HE3:HE4"/>
    <mergeCell ref="HF3:HF4"/>
    <mergeCell ref="GP1:HD1"/>
    <mergeCell ref="GP2:GT2"/>
    <mergeCell ref="GU2:GY2"/>
    <mergeCell ref="GZ2:HD2"/>
    <mergeCell ref="GA3:GA4"/>
    <mergeCell ref="GB3:GB4"/>
    <mergeCell ref="FN3:FN4"/>
    <mergeCell ref="FO3:FP3"/>
    <mergeCell ref="GM3:GM4"/>
    <mergeCell ref="GN3:GO3"/>
    <mergeCell ref="GP3:GP4"/>
    <mergeCell ref="GQ3:GQ4"/>
    <mergeCell ref="GC3:GC4"/>
    <mergeCell ref="GD3:GE3"/>
    <mergeCell ref="FL1:FZ1"/>
    <mergeCell ref="FL2:FP2"/>
    <mergeCell ref="FQ2:FU2"/>
    <mergeCell ref="FV2:FZ2"/>
    <mergeCell ref="FQ3:FQ4"/>
    <mergeCell ref="FR3:FR4"/>
    <mergeCell ref="FD3:FD4"/>
    <mergeCell ref="FE3:FF3"/>
    <mergeCell ref="FG3:FG4"/>
    <mergeCell ref="FH3:FH4"/>
    <mergeCell ref="FI3:FI4"/>
    <mergeCell ref="FJ3:FK3"/>
    <mergeCell ref="FL3:FL4"/>
    <mergeCell ref="FM3:FM4"/>
    <mergeCell ref="FS3:FS4"/>
    <mergeCell ref="FT3:FU3"/>
    <mergeCell ref="FV3:FV4"/>
    <mergeCell ref="FW3:FW4"/>
    <mergeCell ref="FX3:FX4"/>
    <mergeCell ref="FY3:FZ3"/>
    <mergeCell ref="EY3:EY4"/>
    <mergeCell ref="EZ3:FA3"/>
    <mergeCell ref="EW1:FK1"/>
    <mergeCell ref="EW2:FA2"/>
    <mergeCell ref="FB2:FF2"/>
    <mergeCell ref="FG2:FK2"/>
    <mergeCell ref="FB3:FB4"/>
    <mergeCell ref="FC3:FC4"/>
    <mergeCell ref="EO3:EO4"/>
    <mergeCell ref="EP3:EQ3"/>
    <mergeCell ref="ER3:ER4"/>
    <mergeCell ref="ES3:ES4"/>
    <mergeCell ref="ET3:ET4"/>
    <mergeCell ref="EU3:EV3"/>
    <mergeCell ref="EW3:EW4"/>
    <mergeCell ref="EX3:EX4"/>
    <mergeCell ref="EJ3:EJ4"/>
    <mergeCell ref="EK3:EL3"/>
    <mergeCell ref="EH1:EV1"/>
    <mergeCell ref="EH2:EL2"/>
    <mergeCell ref="EM2:EQ2"/>
    <mergeCell ref="ER2:EV2"/>
    <mergeCell ref="EM3:EM4"/>
    <mergeCell ref="EN3:EN4"/>
    <mergeCell ref="DZ3:DZ4"/>
    <mergeCell ref="EA3:EB3"/>
    <mergeCell ref="EC3:EC4"/>
    <mergeCell ref="ED3:ED4"/>
    <mergeCell ref="EE3:EE4"/>
    <mergeCell ref="EF3:EG3"/>
    <mergeCell ref="EH3:EH4"/>
    <mergeCell ref="EI3:EI4"/>
    <mergeCell ref="DS3:DS4"/>
    <mergeCell ref="DT3:DT4"/>
    <mergeCell ref="DU3:DU4"/>
    <mergeCell ref="DV3:DW3"/>
    <mergeCell ref="DS1:EG1"/>
    <mergeCell ref="DS2:DW2"/>
    <mergeCell ref="DX2:EB2"/>
    <mergeCell ref="EC2:EG2"/>
    <mergeCell ref="DX3:DX4"/>
    <mergeCell ref="DY3:DY4"/>
    <mergeCell ref="CK3:CK4"/>
    <mergeCell ref="CL3:CL4"/>
    <mergeCell ref="CM3:CN3"/>
    <mergeCell ref="CO3:CO4"/>
    <mergeCell ref="CP3:CP4"/>
    <mergeCell ref="CY3:CY4"/>
    <mergeCell ref="CZ3:CZ4"/>
    <mergeCell ref="BZ1:CN1"/>
    <mergeCell ref="BZ2:CD2"/>
    <mergeCell ref="CE2:CI2"/>
    <mergeCell ref="CJ2:CN2"/>
    <mergeCell ref="CO1:DC1"/>
    <mergeCell ref="CO2:CS2"/>
    <mergeCell ref="CT2:CX2"/>
    <mergeCell ref="CY2:DC2"/>
    <mergeCell ref="DA3:DA4"/>
    <mergeCell ref="DB3:DC3"/>
    <mergeCell ref="CQ3:CQ4"/>
    <mergeCell ref="CR3:CS3"/>
    <mergeCell ref="CT3:CT4"/>
    <mergeCell ref="CU3:CU4"/>
    <mergeCell ref="CV3:CV4"/>
    <mergeCell ref="CW3:CX3"/>
    <mergeCell ref="CB3:CB4"/>
    <mergeCell ref="CC3:CD3"/>
    <mergeCell ref="CE3:CE4"/>
    <mergeCell ref="CF3:CF4"/>
    <mergeCell ref="BM3:BM4"/>
    <mergeCell ref="BN3:BO3"/>
    <mergeCell ref="BP3:BP4"/>
    <mergeCell ref="BQ3:BQ4"/>
    <mergeCell ref="CJ3:CJ4"/>
    <mergeCell ref="AV3:AV4"/>
    <mergeCell ref="AW3:AW4"/>
    <mergeCell ref="AX3:AX4"/>
    <mergeCell ref="AY3:AZ3"/>
    <mergeCell ref="BA3:BA4"/>
    <mergeCell ref="CG3:CG4"/>
    <mergeCell ref="CH3:CI3"/>
    <mergeCell ref="BU3:BU4"/>
    <mergeCell ref="BV3:BV4"/>
    <mergeCell ref="BW3:BW4"/>
    <mergeCell ref="BX3:BY3"/>
    <mergeCell ref="BB3:BB4"/>
    <mergeCell ref="BC3:BC4"/>
    <mergeCell ref="BR3:BR4"/>
    <mergeCell ref="BS3:BT3"/>
    <mergeCell ref="BF3:BF4"/>
    <mergeCell ref="BL3:BL4"/>
    <mergeCell ref="BD3:BE3"/>
    <mergeCell ref="BZ3:BZ4"/>
    <mergeCell ref="CA3:CA4"/>
    <mergeCell ref="AQ2:AU2"/>
    <mergeCell ref="AQ3:AQ4"/>
    <mergeCell ref="AR3:AR4"/>
    <mergeCell ref="AS3:AS4"/>
    <mergeCell ref="AT3:AU3"/>
    <mergeCell ref="T3:T4"/>
    <mergeCell ref="U3:V3"/>
    <mergeCell ref="W3:W4"/>
    <mergeCell ref="X3:X4"/>
    <mergeCell ref="Y3:Y4"/>
    <mergeCell ref="BG3:BG4"/>
    <mergeCell ref="BH3:BH4"/>
    <mergeCell ref="BI3:BJ3"/>
    <mergeCell ref="BK3:BK4"/>
    <mergeCell ref="M2:Q2"/>
    <mergeCell ref="R2:V2"/>
    <mergeCell ref="W2:AA2"/>
    <mergeCell ref="AB2:AF2"/>
    <mergeCell ref="AG2:AK2"/>
    <mergeCell ref="AL2:AP2"/>
    <mergeCell ref="N3:N4"/>
    <mergeCell ref="O3:O4"/>
    <mergeCell ref="P3:Q3"/>
    <mergeCell ref="R3:R4"/>
    <mergeCell ref="AN3:AN4"/>
    <mergeCell ref="AO3:AP3"/>
    <mergeCell ref="AB3:AB4"/>
    <mergeCell ref="AC3:AC4"/>
    <mergeCell ref="AD3:AD4"/>
    <mergeCell ref="AE3:AF3"/>
    <mergeCell ref="AG3:AG4"/>
    <mergeCell ref="AH3:AH4"/>
    <mergeCell ref="AM3:AM4"/>
    <mergeCell ref="Z3:AA3"/>
    <mergeCell ref="S3:S4"/>
    <mergeCell ref="AI3:AI4"/>
    <mergeCell ref="AJ3:AK3"/>
    <mergeCell ref="AL3:AL4"/>
    <mergeCell ref="J3:J4"/>
    <mergeCell ref="BK2:BO2"/>
    <mergeCell ref="BP2:BT2"/>
    <mergeCell ref="BU2:BY2"/>
    <mergeCell ref="A1:A4"/>
    <mergeCell ref="B1:B4"/>
    <mergeCell ref="C1:Q1"/>
    <mergeCell ref="R1:AF1"/>
    <mergeCell ref="AG1:AU1"/>
    <mergeCell ref="AV1:BJ1"/>
    <mergeCell ref="M3:M4"/>
    <mergeCell ref="BA2:BE2"/>
    <mergeCell ref="BF2:BJ2"/>
    <mergeCell ref="K3:L3"/>
    <mergeCell ref="C3:C4"/>
    <mergeCell ref="D3:D4"/>
    <mergeCell ref="E3:E4"/>
    <mergeCell ref="F3:G3"/>
    <mergeCell ref="H3:H4"/>
    <mergeCell ref="I3:I4"/>
    <mergeCell ref="AV2:AZ2"/>
    <mergeCell ref="BK1:BY1"/>
    <mergeCell ref="C2:G2"/>
    <mergeCell ref="H2:L2"/>
  </mergeCells>
  <phoneticPr fontId="20" type="noConversion"/>
  <conditionalFormatting sqref="ID8:IF8">
    <cfRule type="cellIs" dxfId="101" priority="7" operator="equal">
      <formula>0</formula>
    </cfRule>
  </conditionalFormatting>
  <conditionalFormatting sqref="GN8:GO8">
    <cfRule type="cellIs" dxfId="100" priority="26" operator="equal">
      <formula>0</formula>
    </cfRule>
  </conditionalFormatting>
  <conditionalFormatting sqref="GF8:GH8">
    <cfRule type="cellIs" dxfId="99" priority="27" operator="equal">
      <formula>0</formula>
    </cfRule>
  </conditionalFormatting>
  <conditionalFormatting sqref="GS8:GT8">
    <cfRule type="cellIs" dxfId="98" priority="24" operator="equal">
      <formula>0</formula>
    </cfRule>
  </conditionalFormatting>
  <conditionalFormatting sqref="GK8:GM8">
    <cfRule type="cellIs" dxfId="97" priority="25" operator="equal">
      <formula>0</formula>
    </cfRule>
  </conditionalFormatting>
  <conditionalFormatting sqref="GX8:GY8">
    <cfRule type="cellIs" dxfId="96" priority="22" operator="equal">
      <formula>0</formula>
    </cfRule>
  </conditionalFormatting>
  <conditionalFormatting sqref="GP8:GR8">
    <cfRule type="cellIs" dxfId="95" priority="23" operator="equal">
      <formula>0</formula>
    </cfRule>
  </conditionalFormatting>
  <conditionalFormatting sqref="GU8:GW8">
    <cfRule type="cellIs" dxfId="94" priority="21" operator="equal">
      <formula>0</formula>
    </cfRule>
  </conditionalFormatting>
  <conditionalFormatting sqref="HC8:HD8">
    <cfRule type="cellIs" dxfId="93" priority="20" operator="equal">
      <formula>0</formula>
    </cfRule>
  </conditionalFormatting>
  <conditionalFormatting sqref="GZ8:HB8">
    <cfRule type="cellIs" dxfId="92" priority="19" operator="equal">
      <formula>0</formula>
    </cfRule>
  </conditionalFormatting>
  <conditionalFormatting sqref="HH8:HI8">
    <cfRule type="cellIs" dxfId="91" priority="18" operator="equal">
      <formula>0</formula>
    </cfRule>
  </conditionalFormatting>
  <conditionalFormatting sqref="HE8:HG8">
    <cfRule type="cellIs" dxfId="90" priority="17" operator="equal">
      <formula>0</formula>
    </cfRule>
  </conditionalFormatting>
  <conditionalFormatting sqref="HM8:HN8">
    <cfRule type="cellIs" dxfId="89" priority="16" operator="equal">
      <formula>0</formula>
    </cfRule>
  </conditionalFormatting>
  <conditionalFormatting sqref="HR8:HS8">
    <cfRule type="cellIs" dxfId="88" priority="14" operator="equal">
      <formula>0</formula>
    </cfRule>
  </conditionalFormatting>
  <conditionalFormatting sqref="HJ8:HL8">
    <cfRule type="cellIs" dxfId="87" priority="15" operator="equal">
      <formula>0</formula>
    </cfRule>
  </conditionalFormatting>
  <conditionalFormatting sqref="HO8:HQ8">
    <cfRule type="cellIs" dxfId="86" priority="13" operator="equal">
      <formula>0</formula>
    </cfRule>
  </conditionalFormatting>
  <conditionalFormatting sqref="HT8:HV8">
    <cfRule type="cellIs" dxfId="85" priority="11" operator="equal">
      <formula>0</formula>
    </cfRule>
  </conditionalFormatting>
  <conditionalFormatting sqref="HW8:HX8">
    <cfRule type="cellIs" dxfId="84" priority="12" operator="equal">
      <formula>0</formula>
    </cfRule>
  </conditionalFormatting>
  <conditionalFormatting sqref="IB8:IC8">
    <cfRule type="cellIs" dxfId="83" priority="10" operator="equal">
      <formula>0</formula>
    </cfRule>
  </conditionalFormatting>
  <conditionalFormatting sqref="IG8:IH8">
    <cfRule type="cellIs" dxfId="82" priority="8" operator="equal">
      <formula>0</formula>
    </cfRule>
  </conditionalFormatting>
  <conditionalFormatting sqref="HY8:IA8">
    <cfRule type="cellIs" dxfId="81" priority="9" operator="equal">
      <formula>0</formula>
    </cfRule>
  </conditionalFormatting>
  <conditionalFormatting sqref="DL8:DM8">
    <cfRule type="cellIs" dxfId="80" priority="60" operator="equal">
      <formula>0</formula>
    </cfRule>
  </conditionalFormatting>
  <conditionalFormatting sqref="FG8:FI8">
    <cfRule type="cellIs" dxfId="79" priority="39" operator="equal">
      <formula>0</formula>
    </cfRule>
  </conditionalFormatting>
  <conditionalFormatting sqref="FJ8:FK8">
    <cfRule type="cellIs" dxfId="78" priority="40" operator="equal">
      <formula>0</formula>
    </cfRule>
  </conditionalFormatting>
  <conditionalFormatting sqref="EW8:EY8">
    <cfRule type="cellIs" dxfId="77" priority="43" operator="equal">
      <formula>0</formula>
    </cfRule>
  </conditionalFormatting>
  <conditionalFormatting sqref="EK8:EL8">
    <cfRule type="cellIs" dxfId="76" priority="50" operator="equal">
      <formula>0</formula>
    </cfRule>
  </conditionalFormatting>
  <conditionalFormatting sqref="DN8:DP8">
    <cfRule type="cellIs" dxfId="75" priority="57" operator="equal">
      <formula>0</formula>
    </cfRule>
  </conditionalFormatting>
  <conditionalFormatting sqref="FB8:FD8">
    <cfRule type="cellIs" dxfId="74" priority="41" operator="equal">
      <formula>0</formula>
    </cfRule>
  </conditionalFormatting>
  <conditionalFormatting sqref="FO8:FP8">
    <cfRule type="cellIs" dxfId="73" priority="38" operator="equal">
      <formula>0</formula>
    </cfRule>
  </conditionalFormatting>
  <conditionalFormatting sqref="FY8:FZ8">
    <cfRule type="cellIs" dxfId="72" priority="34" operator="equal">
      <formula>0</formula>
    </cfRule>
  </conditionalFormatting>
  <conditionalFormatting sqref="FL8:FN8">
    <cfRule type="cellIs" dxfId="71" priority="37" operator="equal">
      <formula>0</formula>
    </cfRule>
  </conditionalFormatting>
  <conditionalFormatting sqref="FT8:FU8">
    <cfRule type="cellIs" dxfId="70" priority="36" operator="equal">
      <formula>0</formula>
    </cfRule>
  </conditionalFormatting>
  <conditionalFormatting sqref="C8:E8">
    <cfRule type="cellIs" dxfId="69" priority="103" operator="equal">
      <formula>0</formula>
    </cfRule>
  </conditionalFormatting>
  <conditionalFormatting sqref="F8:G8">
    <cfRule type="cellIs" dxfId="68" priority="104" operator="equal">
      <formula>0</formula>
    </cfRule>
  </conditionalFormatting>
  <conditionalFormatting sqref="H8:J8">
    <cfRule type="cellIs" dxfId="67" priority="101" operator="equal">
      <formula>0</formula>
    </cfRule>
  </conditionalFormatting>
  <conditionalFormatting sqref="K8:L8">
    <cfRule type="cellIs" dxfId="66" priority="102" operator="equal">
      <formula>0</formula>
    </cfRule>
  </conditionalFormatting>
  <conditionalFormatting sqref="M8:O8">
    <cfRule type="cellIs" dxfId="65" priority="99" operator="equal">
      <formula>0</formula>
    </cfRule>
  </conditionalFormatting>
  <conditionalFormatting sqref="P8:Q8">
    <cfRule type="cellIs" dxfId="64" priority="100" operator="equal">
      <formula>0</formula>
    </cfRule>
  </conditionalFormatting>
  <conditionalFormatting sqref="R8:T8">
    <cfRule type="cellIs" dxfId="63" priority="97" operator="equal">
      <formula>0</formula>
    </cfRule>
  </conditionalFormatting>
  <conditionalFormatting sqref="U8:V8">
    <cfRule type="cellIs" dxfId="62" priority="98" operator="equal">
      <formula>0</formula>
    </cfRule>
  </conditionalFormatting>
  <conditionalFormatting sqref="W8:Y8">
    <cfRule type="cellIs" dxfId="61" priority="95" operator="equal">
      <formula>0</formula>
    </cfRule>
  </conditionalFormatting>
  <conditionalFormatting sqref="Z8:AA8">
    <cfRule type="cellIs" dxfId="60" priority="96" operator="equal">
      <formula>0</formula>
    </cfRule>
  </conditionalFormatting>
  <conditionalFormatting sqref="AB8:AD8">
    <cfRule type="cellIs" dxfId="59" priority="93" operator="equal">
      <formula>0</formula>
    </cfRule>
  </conditionalFormatting>
  <conditionalFormatting sqref="AE8:AF8">
    <cfRule type="cellIs" dxfId="58" priority="94" operator="equal">
      <formula>0</formula>
    </cfRule>
  </conditionalFormatting>
  <conditionalFormatting sqref="AG8:AI8">
    <cfRule type="cellIs" dxfId="57" priority="91" operator="equal">
      <formula>0</formula>
    </cfRule>
  </conditionalFormatting>
  <conditionalFormatting sqref="AJ8:AK8">
    <cfRule type="cellIs" dxfId="56" priority="92" operator="equal">
      <formula>0</formula>
    </cfRule>
  </conditionalFormatting>
  <conditionalFormatting sqref="AL8:AN8">
    <cfRule type="cellIs" dxfId="55" priority="89" operator="equal">
      <formula>0</formula>
    </cfRule>
  </conditionalFormatting>
  <conditionalFormatting sqref="AO8:AP8">
    <cfRule type="cellIs" dxfId="54" priority="90" operator="equal">
      <formula>0</formula>
    </cfRule>
  </conditionalFormatting>
  <conditionalFormatting sqref="AQ8:AS8">
    <cfRule type="cellIs" dxfId="53" priority="87" operator="equal">
      <formula>0</formula>
    </cfRule>
  </conditionalFormatting>
  <conditionalFormatting sqref="AT8:AU8">
    <cfRule type="cellIs" dxfId="52" priority="88" operator="equal">
      <formula>0</formula>
    </cfRule>
  </conditionalFormatting>
  <conditionalFormatting sqref="AV8:AX8">
    <cfRule type="cellIs" dxfId="51" priority="85" operator="equal">
      <formula>0</formula>
    </cfRule>
  </conditionalFormatting>
  <conditionalFormatting sqref="AY8:AZ8">
    <cfRule type="cellIs" dxfId="50" priority="86" operator="equal">
      <formula>0</formula>
    </cfRule>
  </conditionalFormatting>
  <conditionalFormatting sqref="BA8:BC8">
    <cfRule type="cellIs" dxfId="49" priority="83" operator="equal">
      <formula>0</formula>
    </cfRule>
  </conditionalFormatting>
  <conditionalFormatting sqref="BD8:BE8">
    <cfRule type="cellIs" dxfId="48" priority="84" operator="equal">
      <formula>0</formula>
    </cfRule>
  </conditionalFormatting>
  <conditionalFormatting sqref="BF8:BH8">
    <cfRule type="cellIs" dxfId="47" priority="81" operator="equal">
      <formula>0</formula>
    </cfRule>
  </conditionalFormatting>
  <conditionalFormatting sqref="BI8:BJ8">
    <cfRule type="cellIs" dxfId="46" priority="82" operator="equal">
      <formula>0</formula>
    </cfRule>
  </conditionalFormatting>
  <conditionalFormatting sqref="BK8:BM8">
    <cfRule type="cellIs" dxfId="45" priority="79" operator="equal">
      <formula>0</formula>
    </cfRule>
  </conditionalFormatting>
  <conditionalFormatting sqref="BN8:BO8">
    <cfRule type="cellIs" dxfId="44" priority="80" operator="equal">
      <formula>0</formula>
    </cfRule>
  </conditionalFormatting>
  <conditionalFormatting sqref="BP8:BR8">
    <cfRule type="cellIs" dxfId="43" priority="77" operator="equal">
      <formula>0</formula>
    </cfRule>
  </conditionalFormatting>
  <conditionalFormatting sqref="BS8:BT8">
    <cfRule type="cellIs" dxfId="42" priority="78" operator="equal">
      <formula>0</formula>
    </cfRule>
  </conditionalFormatting>
  <conditionalFormatting sqref="BU8:BW8">
    <cfRule type="cellIs" dxfId="41" priority="75" operator="equal">
      <formula>0</formula>
    </cfRule>
  </conditionalFormatting>
  <conditionalFormatting sqref="BX8:BY8">
    <cfRule type="cellIs" dxfId="40" priority="76" operator="equal">
      <formula>0</formula>
    </cfRule>
  </conditionalFormatting>
  <conditionalFormatting sqref="BZ8:CB8">
    <cfRule type="cellIs" dxfId="39" priority="73" operator="equal">
      <formula>0</formula>
    </cfRule>
  </conditionalFormatting>
  <conditionalFormatting sqref="CC8:CD8">
    <cfRule type="cellIs" dxfId="38" priority="74" operator="equal">
      <formula>0</formula>
    </cfRule>
  </conditionalFormatting>
  <conditionalFormatting sqref="CE8:CG8">
    <cfRule type="cellIs" dxfId="37" priority="71" operator="equal">
      <formula>0</formula>
    </cfRule>
  </conditionalFormatting>
  <conditionalFormatting sqref="CH8:CI8">
    <cfRule type="cellIs" dxfId="36" priority="72" operator="equal">
      <formula>0</formula>
    </cfRule>
  </conditionalFormatting>
  <conditionalFormatting sqref="CJ8:CL8">
    <cfRule type="cellIs" dxfId="35" priority="69" operator="equal">
      <formula>0</formula>
    </cfRule>
  </conditionalFormatting>
  <conditionalFormatting sqref="CM8:CN8">
    <cfRule type="cellIs" dxfId="34" priority="70" operator="equal">
      <formula>0</formula>
    </cfRule>
  </conditionalFormatting>
  <conditionalFormatting sqref="CO8:CQ8">
    <cfRule type="cellIs" dxfId="33" priority="67" operator="equal">
      <formula>0</formula>
    </cfRule>
  </conditionalFormatting>
  <conditionalFormatting sqref="CR8:CS8">
    <cfRule type="cellIs" dxfId="32" priority="68" operator="equal">
      <formula>0</formula>
    </cfRule>
  </conditionalFormatting>
  <conditionalFormatting sqref="CT8:CV8">
    <cfRule type="cellIs" dxfId="31" priority="65" operator="equal">
      <formula>0</formula>
    </cfRule>
  </conditionalFormatting>
  <conditionalFormatting sqref="CW8:CX8">
    <cfRule type="cellIs" dxfId="30" priority="66" operator="equal">
      <formula>0</formula>
    </cfRule>
  </conditionalFormatting>
  <conditionalFormatting sqref="CY8:DA8">
    <cfRule type="cellIs" dxfId="29" priority="63" operator="equal">
      <formula>0</formula>
    </cfRule>
  </conditionalFormatting>
  <conditionalFormatting sqref="DB8:DC8">
    <cfRule type="cellIs" dxfId="28" priority="64" operator="equal">
      <formula>0</formula>
    </cfRule>
  </conditionalFormatting>
  <conditionalFormatting sqref="DD8:DF8">
    <cfRule type="cellIs" dxfId="27" priority="61" operator="equal">
      <formula>0</formula>
    </cfRule>
  </conditionalFormatting>
  <conditionalFormatting sqref="DG8:DH8">
    <cfRule type="cellIs" dxfId="26" priority="62" operator="equal">
      <formula>0</formula>
    </cfRule>
  </conditionalFormatting>
  <conditionalFormatting sqref="DI8:DK8">
    <cfRule type="cellIs" dxfId="25" priority="59" operator="equal">
      <formula>0</formula>
    </cfRule>
  </conditionalFormatting>
  <conditionalFormatting sqref="DQ8:DR8">
    <cfRule type="cellIs" dxfId="24" priority="58" operator="equal">
      <formula>0</formula>
    </cfRule>
  </conditionalFormatting>
  <conditionalFormatting sqref="DS8:DU8">
    <cfRule type="cellIs" dxfId="23" priority="55" operator="equal">
      <formula>0</formula>
    </cfRule>
  </conditionalFormatting>
  <conditionalFormatting sqref="DV8:DW8">
    <cfRule type="cellIs" dxfId="22" priority="56" operator="equal">
      <formula>0</formula>
    </cfRule>
  </conditionalFormatting>
  <conditionalFormatting sqref="DX8:DZ8">
    <cfRule type="cellIs" dxfId="21" priority="53" operator="equal">
      <formula>0</formula>
    </cfRule>
  </conditionalFormatting>
  <conditionalFormatting sqref="EA8:EB8">
    <cfRule type="cellIs" dxfId="20" priority="54" operator="equal">
      <formula>0</formula>
    </cfRule>
  </conditionalFormatting>
  <conditionalFormatting sqref="EC8:EE8">
    <cfRule type="cellIs" dxfId="19" priority="51" operator="equal">
      <formula>0</formula>
    </cfRule>
  </conditionalFormatting>
  <conditionalFormatting sqref="EF8:EG8">
    <cfRule type="cellIs" dxfId="18" priority="52" operator="equal">
      <formula>0</formula>
    </cfRule>
  </conditionalFormatting>
  <conditionalFormatting sqref="EH8:EJ8">
    <cfRule type="cellIs" dxfId="17" priority="49" operator="equal">
      <formula>0</formula>
    </cfRule>
  </conditionalFormatting>
  <conditionalFormatting sqref="EM8:EO8">
    <cfRule type="cellIs" dxfId="16" priority="47" operator="equal">
      <formula>0</formula>
    </cfRule>
  </conditionalFormatting>
  <conditionalFormatting sqref="EP8:EQ8">
    <cfRule type="cellIs" dxfId="15" priority="48" operator="equal">
      <formula>0</formula>
    </cfRule>
  </conditionalFormatting>
  <conditionalFormatting sqref="ER8:ET8">
    <cfRule type="cellIs" dxfId="14" priority="45" operator="equal">
      <formula>0</formula>
    </cfRule>
  </conditionalFormatting>
  <conditionalFormatting sqref="EU8:EV8">
    <cfRule type="cellIs" dxfId="13" priority="46" operator="equal">
      <formula>0</formula>
    </cfRule>
  </conditionalFormatting>
  <conditionalFormatting sqref="EZ8:FA8">
    <cfRule type="cellIs" dxfId="12" priority="44" operator="equal">
      <formula>0</formula>
    </cfRule>
  </conditionalFormatting>
  <conditionalFormatting sqref="FE8:FF8">
    <cfRule type="cellIs" dxfId="11" priority="42" operator="equal">
      <formula>0</formula>
    </cfRule>
  </conditionalFormatting>
  <conditionalFormatting sqref="FQ8:FS8">
    <cfRule type="cellIs" dxfId="10" priority="35" operator="equal">
      <formula>0</formula>
    </cfRule>
  </conditionalFormatting>
  <conditionalFormatting sqref="FV8:FX8">
    <cfRule type="cellIs" dxfId="9" priority="33" operator="equal">
      <formula>0</formula>
    </cfRule>
  </conditionalFormatting>
  <conditionalFormatting sqref="GA8:GC8">
    <cfRule type="cellIs" dxfId="8" priority="31" operator="equal">
      <formula>0</formula>
    </cfRule>
  </conditionalFormatting>
  <conditionalFormatting sqref="GD8:GE8">
    <cfRule type="cellIs" dxfId="7" priority="32" operator="equal">
      <formula>0</formula>
    </cfRule>
  </conditionalFormatting>
  <conditionalFormatting sqref="GI8:GJ8">
    <cfRule type="cellIs" dxfId="6" priority="28" operator="equal">
      <formula>0</formula>
    </cfRule>
  </conditionalFormatting>
  <conditionalFormatting sqref="IS8:IU8">
    <cfRule type="cellIs" dxfId="5" priority="1" operator="equal">
      <formula>0</formula>
    </cfRule>
  </conditionalFormatting>
  <conditionalFormatting sqref="II8:IK8">
    <cfRule type="cellIs" dxfId="4" priority="5" operator="equal">
      <formula>0</formula>
    </cfRule>
  </conditionalFormatting>
  <conditionalFormatting sqref="IL8:IM8">
    <cfRule type="cellIs" dxfId="3" priority="6" operator="equal">
      <formula>0</formula>
    </cfRule>
  </conditionalFormatting>
  <conditionalFormatting sqref="IQ8:IR8">
    <cfRule type="cellIs" dxfId="2" priority="4" operator="equal">
      <formula>0</formula>
    </cfRule>
  </conditionalFormatting>
  <conditionalFormatting sqref="IV8">
    <cfRule type="cellIs" dxfId="1" priority="2" operator="equal">
      <formula>0</formula>
    </cfRule>
  </conditionalFormatting>
  <conditionalFormatting sqref="IN8:IP8">
    <cfRule type="cellIs" dxfId="0" priority="3" operator="equal">
      <formula>0</formula>
    </cfRule>
  </conditionalFormatting>
  <hyperlinks>
    <hyperlink ref="B16" location="Содержание!A1" display="Возврат в содержание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HE12"/>
  <sheetViews>
    <sheetView workbookViewId="0">
      <selection activeCell="C13" sqref="C13"/>
    </sheetView>
  </sheetViews>
  <sheetFormatPr defaultRowHeight="15" x14ac:dyDescent="0.25"/>
  <cols>
    <col min="1" max="1" width="8.42578125" customWidth="1"/>
    <col min="2" max="2" width="13" customWidth="1"/>
    <col min="3" max="3" width="29.85546875" customWidth="1"/>
    <col min="4" max="4" width="21.5703125" customWidth="1"/>
    <col min="5" max="8" width="0" hidden="1" customWidth="1"/>
    <col min="9" max="9" width="10.5703125" customWidth="1"/>
    <col min="10" max="10" width="9.85546875" customWidth="1"/>
    <col min="11" max="12" width="0" hidden="1" customWidth="1"/>
    <col min="13" max="13" width="7.5703125" customWidth="1"/>
    <col min="14" max="14" width="0" hidden="1" customWidth="1"/>
    <col min="15" max="15" width="9.5703125" customWidth="1"/>
    <col min="16" max="16" width="11" customWidth="1"/>
    <col min="17" max="18" width="9.28515625" customWidth="1"/>
    <col min="19" max="20" width="0" hidden="1" customWidth="1"/>
    <col min="21" max="21" width="10.5703125" customWidth="1"/>
    <col min="22" max="24" width="9.85546875" customWidth="1"/>
    <col min="25" max="25" width="8.42578125" customWidth="1"/>
    <col min="26" max="26" width="0" hidden="1" customWidth="1"/>
    <col min="27" max="27" width="11" customWidth="1"/>
    <col min="28" max="28" width="10.42578125" customWidth="1"/>
    <col min="29" max="30" width="9.28515625" customWidth="1"/>
    <col min="31" max="32" width="0" hidden="1" customWidth="1"/>
    <col min="33" max="33" width="10.5703125" customWidth="1"/>
    <col min="34" max="36" width="9.85546875" customWidth="1"/>
    <col min="37" max="37" width="7.5703125" customWidth="1"/>
    <col min="38" max="38" width="0" hidden="1" customWidth="1"/>
    <col min="39" max="39" width="10.140625" customWidth="1"/>
    <col min="40" max="40" width="10.5703125" customWidth="1"/>
    <col min="41" max="42" width="9.28515625" customWidth="1"/>
    <col min="43" max="44" width="0" hidden="1" customWidth="1"/>
    <col min="45" max="45" width="10.5703125" customWidth="1"/>
    <col min="46" max="48" width="9.85546875" customWidth="1"/>
    <col min="49" max="49" width="7.28515625" customWidth="1"/>
    <col min="50" max="50" width="0" hidden="1" customWidth="1"/>
    <col min="51" max="51" width="9.28515625" customWidth="1"/>
    <col min="52" max="52" width="13.28515625" customWidth="1"/>
    <col min="53" max="53" width="9.28515625" customWidth="1"/>
    <col min="54" max="54" width="10.85546875" customWidth="1"/>
    <col min="55" max="56" width="0" hidden="1" customWidth="1"/>
    <col min="57" max="57" width="10.5703125" customWidth="1"/>
    <col min="58" max="60" width="9.85546875" customWidth="1"/>
    <col min="61" max="61" width="7.5703125" customWidth="1"/>
    <col min="62" max="62" width="0" hidden="1" customWidth="1"/>
    <col min="63" max="66" width="9.28515625" customWidth="1"/>
    <col min="67" max="67" width="10.42578125" customWidth="1"/>
    <col min="68" max="68" width="10.28515625" customWidth="1"/>
    <col min="69" max="69" width="0" hidden="1" customWidth="1"/>
    <col min="70" max="70" width="5.7109375" customWidth="1"/>
    <col min="71" max="71" width="8.7109375" customWidth="1"/>
    <col min="72" max="72" width="10" customWidth="1"/>
    <col min="73" max="73" width="9.28515625" customWidth="1"/>
    <col min="74" max="74" width="10.5703125" customWidth="1"/>
    <col min="75" max="76" width="9.7109375" customWidth="1"/>
    <col min="77" max="77" width="9" customWidth="1"/>
    <col min="78" max="78" width="9.7109375" customWidth="1"/>
    <col min="79" max="79" width="10.140625" customWidth="1"/>
    <col min="80" max="80" width="7.140625" customWidth="1"/>
    <col min="81" max="81" width="10.42578125" customWidth="1"/>
    <col min="82" max="82" width="10.5703125" customWidth="1"/>
    <col min="83" max="86" width="9.140625" customWidth="1"/>
    <col min="87" max="88" width="9" customWidth="1"/>
    <col min="89" max="90" width="9.140625" customWidth="1"/>
    <col min="91" max="95" width="10.42578125" customWidth="1"/>
    <col min="96" max="96" width="10.28515625" customWidth="1"/>
    <col min="97" max="97" width="0" hidden="1" customWidth="1"/>
    <col min="98" max="98" width="5.7109375" customWidth="1"/>
    <col min="99" max="100" width="8.7109375" customWidth="1"/>
    <col min="101" max="101" width="9.28515625" customWidth="1"/>
    <col min="102" max="102" width="10.5703125" customWidth="1"/>
    <col min="103" max="104" width="9.7109375" customWidth="1"/>
    <col min="105" max="105" width="9" customWidth="1"/>
    <col min="106" max="106" width="9.7109375" customWidth="1"/>
    <col min="107" max="107" width="10.140625" customWidth="1"/>
    <col min="108" max="108" width="9.85546875" customWidth="1"/>
    <col min="109" max="109" width="10.42578125" customWidth="1"/>
    <col min="110" max="110" width="10.5703125" customWidth="1"/>
    <col min="111" max="112" width="9.140625" customWidth="1"/>
    <col min="113" max="116" width="0" hidden="1" customWidth="1"/>
    <col min="117" max="118" width="9.140625" customWidth="1"/>
    <col min="119" max="123" width="10.42578125" customWidth="1"/>
    <col min="124" max="124" width="10.28515625" customWidth="1"/>
    <col min="125" max="125" width="0" hidden="1" customWidth="1"/>
    <col min="126" max="126" width="5.7109375" customWidth="1"/>
    <col min="127" max="128" width="8.7109375" customWidth="1"/>
    <col min="129" max="129" width="9.28515625" customWidth="1"/>
    <col min="130" max="130" width="10.5703125" customWidth="1"/>
    <col min="131" max="132" width="9.7109375" customWidth="1"/>
    <col min="133" max="133" width="9" customWidth="1"/>
    <col min="134" max="134" width="9.7109375" customWidth="1"/>
    <col min="135" max="135" width="10.140625" customWidth="1"/>
    <col min="136" max="136" width="7.140625" customWidth="1"/>
    <col min="137" max="137" width="10.42578125" customWidth="1"/>
    <col min="138" max="138" width="10.5703125" customWidth="1"/>
    <col min="139" max="140" width="9.140625" customWidth="1"/>
    <col min="141" max="144" width="0" hidden="1" customWidth="1"/>
    <col min="145" max="146" width="9.140625" customWidth="1"/>
    <col min="147" max="150" width="10.42578125" customWidth="1"/>
    <col min="152" max="152" width="9.85546875" customWidth="1"/>
    <col min="162" max="162" width="15.28515625" bestFit="1" customWidth="1"/>
    <col min="163" max="164" width="9.28515625" bestFit="1" customWidth="1"/>
  </cols>
  <sheetData>
    <row r="1" spans="1:213" s="113" customFormat="1" ht="15.75" customHeight="1" x14ac:dyDescent="0.25">
      <c r="A1" s="175" t="s">
        <v>135</v>
      </c>
      <c r="B1" s="176"/>
      <c r="C1" s="177" t="s">
        <v>136</v>
      </c>
      <c r="D1" s="178"/>
      <c r="E1" s="177"/>
      <c r="F1" s="179"/>
      <c r="G1" s="180"/>
      <c r="H1" s="179"/>
      <c r="I1" s="181"/>
      <c r="J1" s="97"/>
      <c r="K1" s="97"/>
      <c r="L1" s="97"/>
      <c r="M1" s="97"/>
      <c r="N1" s="97"/>
      <c r="O1" s="97"/>
      <c r="P1" s="97"/>
      <c r="Q1" s="182"/>
      <c r="R1" s="183"/>
      <c r="S1" s="180"/>
      <c r="T1" s="184"/>
      <c r="U1" s="181"/>
      <c r="V1" s="97"/>
      <c r="W1" s="97"/>
      <c r="X1" s="97"/>
      <c r="Y1" s="97"/>
      <c r="Z1" s="97"/>
      <c r="AA1" s="97"/>
      <c r="AB1" s="97"/>
      <c r="AC1" s="182"/>
      <c r="AD1" s="185"/>
      <c r="AE1" s="180"/>
      <c r="AF1" s="184"/>
      <c r="AG1" s="181"/>
      <c r="AH1" s="97"/>
      <c r="AI1" s="97"/>
      <c r="AJ1" s="97"/>
      <c r="AK1" s="97"/>
      <c r="AL1" s="97"/>
      <c r="AM1" s="97"/>
      <c r="AN1" s="97"/>
      <c r="AO1" s="182"/>
      <c r="AP1" s="185"/>
      <c r="AQ1" s="180"/>
      <c r="AR1" s="184"/>
      <c r="AS1" s="181"/>
      <c r="AT1" s="97"/>
      <c r="AU1" s="97"/>
      <c r="AV1" s="97"/>
      <c r="AW1" s="97"/>
      <c r="AX1" s="97"/>
      <c r="AY1" s="97"/>
      <c r="AZ1" s="97"/>
      <c r="BA1" s="97"/>
      <c r="BB1" s="186"/>
      <c r="BC1" s="180"/>
      <c r="BD1" s="184"/>
      <c r="BE1" s="181"/>
      <c r="BF1" s="97"/>
      <c r="BG1" s="97"/>
      <c r="BH1" s="97"/>
      <c r="BI1" s="97"/>
      <c r="BJ1" s="97"/>
      <c r="BK1" s="97"/>
      <c r="BL1" s="97"/>
      <c r="BM1" s="97"/>
      <c r="BN1" s="186"/>
      <c r="BO1" s="181"/>
      <c r="BP1" s="97"/>
      <c r="BQ1" s="97"/>
      <c r="BR1" s="187"/>
      <c r="BS1" s="97"/>
      <c r="BT1" s="188"/>
      <c r="BU1" s="186"/>
      <c r="BV1" s="189"/>
      <c r="BW1" s="97"/>
      <c r="BX1" s="97"/>
      <c r="BY1" s="97"/>
      <c r="BZ1" s="97"/>
      <c r="CA1" s="97"/>
      <c r="CB1" s="97"/>
      <c r="CC1" s="97"/>
      <c r="CD1" s="98"/>
      <c r="CE1" s="97"/>
      <c r="CF1" s="99"/>
      <c r="CG1" s="97"/>
      <c r="CH1" s="99"/>
      <c r="CI1" s="97"/>
      <c r="CJ1" s="99"/>
      <c r="CK1" s="97"/>
      <c r="CL1" s="139"/>
      <c r="CM1" s="190"/>
      <c r="CN1" s="139"/>
      <c r="CO1" s="190"/>
      <c r="CP1" s="102"/>
      <c r="CQ1" s="181"/>
      <c r="CR1" s="97"/>
      <c r="CS1" s="97"/>
      <c r="CT1" s="187"/>
      <c r="CU1" s="97"/>
      <c r="CV1" s="188"/>
      <c r="CW1" s="186"/>
      <c r="CX1" s="189"/>
      <c r="CY1" s="97"/>
      <c r="CZ1" s="97"/>
      <c r="DA1" s="97"/>
      <c r="DB1" s="97"/>
      <c r="DC1" s="97"/>
      <c r="DD1" s="97"/>
      <c r="DE1" s="97"/>
      <c r="DF1" s="98"/>
      <c r="DG1" s="97"/>
      <c r="DH1" s="99"/>
      <c r="DI1" s="97"/>
      <c r="DJ1" s="99"/>
      <c r="DK1" s="97"/>
      <c r="DL1" s="99"/>
      <c r="DM1" s="97"/>
      <c r="DN1" s="139"/>
      <c r="DO1" s="190"/>
      <c r="DP1" s="139"/>
      <c r="DQ1" s="190"/>
      <c r="DR1" s="102"/>
      <c r="DS1" s="181"/>
      <c r="DT1" s="97"/>
      <c r="DU1" s="97"/>
      <c r="DV1" s="187"/>
      <c r="DW1" s="97"/>
      <c r="DX1" s="188"/>
      <c r="DY1" s="186"/>
      <c r="DZ1" s="189"/>
      <c r="EA1" s="97"/>
      <c r="EB1" s="97"/>
      <c r="EC1" s="97"/>
      <c r="ED1" s="97"/>
      <c r="EE1" s="97"/>
      <c r="EF1" s="97"/>
      <c r="EG1" s="97"/>
      <c r="EH1" s="98"/>
      <c r="EI1" s="97"/>
      <c r="EJ1" s="99"/>
      <c r="EK1" s="97"/>
      <c r="EL1" s="99"/>
      <c r="EM1" s="97"/>
      <c r="EN1" s="99"/>
      <c r="EO1" s="97"/>
      <c r="EP1" s="139"/>
      <c r="EQ1" s="190"/>
      <c r="ER1" s="139"/>
      <c r="ES1" s="190"/>
      <c r="ET1" s="102"/>
      <c r="EU1" s="103"/>
      <c r="EV1" s="103"/>
      <c r="EW1" s="104"/>
      <c r="EX1" s="105"/>
      <c r="EY1" s="106"/>
      <c r="EZ1" s="107"/>
      <c r="FA1" s="107"/>
      <c r="FB1" s="107"/>
      <c r="FC1" s="107"/>
      <c r="FD1" s="107"/>
      <c r="FE1" s="107"/>
      <c r="FF1" s="108"/>
      <c r="FG1" s="108"/>
      <c r="FH1" s="109"/>
      <c r="FI1" s="106"/>
      <c r="FJ1" s="107"/>
      <c r="FK1" s="107"/>
      <c r="FL1" s="107"/>
      <c r="FM1" s="107"/>
      <c r="FN1" s="107"/>
      <c r="FO1" s="107"/>
      <c r="FP1" s="108"/>
      <c r="FQ1" s="108"/>
      <c r="FR1" s="109"/>
      <c r="FS1" s="110"/>
      <c r="FT1" s="107"/>
      <c r="FU1" s="107"/>
      <c r="FV1" s="107"/>
      <c r="FW1" s="107"/>
      <c r="FX1" s="107"/>
      <c r="FY1" s="107"/>
      <c r="FZ1" s="111"/>
      <c r="GA1" s="111"/>
      <c r="GB1" s="111"/>
      <c r="GC1" s="111"/>
      <c r="GD1" s="111"/>
      <c r="GE1" s="111"/>
      <c r="GF1" s="111"/>
      <c r="GG1" s="111"/>
      <c r="GH1" s="111"/>
      <c r="GI1" s="111"/>
      <c r="GJ1" s="112"/>
      <c r="GK1" s="112"/>
      <c r="GL1" s="112"/>
      <c r="GM1" s="112"/>
      <c r="GN1" s="112"/>
      <c r="GO1" s="112"/>
      <c r="GP1" s="112"/>
      <c r="GQ1" s="111"/>
      <c r="GR1" s="111"/>
      <c r="GS1" s="111"/>
      <c r="GT1" s="111"/>
      <c r="GU1" s="111"/>
      <c r="GV1" s="111"/>
      <c r="GW1" s="111"/>
      <c r="GX1" s="111"/>
      <c r="GY1" s="111"/>
      <c r="GZ1" s="111"/>
      <c r="HA1" s="111"/>
      <c r="HB1" s="111"/>
      <c r="HC1" s="111"/>
      <c r="HD1" s="111"/>
      <c r="HE1" s="111"/>
    </row>
    <row r="2" spans="1:213" s="209" customFormat="1" ht="15.75" customHeight="1" x14ac:dyDescent="0.25">
      <c r="A2" s="217" t="s">
        <v>137</v>
      </c>
      <c r="B2" s="191"/>
      <c r="C2" s="256" t="s">
        <v>138</v>
      </c>
      <c r="D2" s="192"/>
      <c r="E2" s="193"/>
      <c r="F2" s="194"/>
      <c r="G2" s="195"/>
      <c r="H2" s="194"/>
      <c r="I2" s="196"/>
      <c r="J2" s="254"/>
      <c r="K2" s="197"/>
      <c r="L2" s="197"/>
      <c r="M2" s="254"/>
      <c r="N2" s="197"/>
      <c r="O2" s="254"/>
      <c r="P2" s="254"/>
      <c r="Q2" s="198"/>
      <c r="R2" s="199"/>
      <c r="S2" s="195"/>
      <c r="T2" s="200"/>
      <c r="U2" s="196"/>
      <c r="V2" s="254"/>
      <c r="W2" s="197"/>
      <c r="X2" s="197"/>
      <c r="Y2" s="254"/>
      <c r="Z2" s="197"/>
      <c r="AA2" s="254"/>
      <c r="AB2" s="254"/>
      <c r="AC2" s="198"/>
      <c r="AD2" s="201"/>
      <c r="AE2" s="195"/>
      <c r="AF2" s="200"/>
      <c r="AG2" s="196"/>
      <c r="AH2" s="254"/>
      <c r="AI2" s="197"/>
      <c r="AJ2" s="197"/>
      <c r="AK2" s="254"/>
      <c r="AL2" s="197"/>
      <c r="AM2" s="254"/>
      <c r="AN2" s="254"/>
      <c r="AO2" s="198"/>
      <c r="AP2" s="201"/>
      <c r="AQ2" s="195"/>
      <c r="AR2" s="200"/>
      <c r="AS2" s="196"/>
      <c r="AT2" s="254"/>
      <c r="AU2" s="197"/>
      <c r="AV2" s="197"/>
      <c r="AW2" s="254"/>
      <c r="AX2" s="197"/>
      <c r="AY2" s="260"/>
      <c r="AZ2" s="254"/>
      <c r="BA2" s="254"/>
      <c r="BB2" s="258"/>
      <c r="BC2" s="195"/>
      <c r="BD2" s="200"/>
      <c r="BE2" s="196"/>
      <c r="BF2" s="254"/>
      <c r="BG2" s="197"/>
      <c r="BH2" s="197"/>
      <c r="BI2" s="254"/>
      <c r="BJ2" s="197"/>
      <c r="BK2" s="254"/>
      <c r="BL2" s="254"/>
      <c r="BM2" s="254"/>
      <c r="BN2" s="258"/>
      <c r="BO2" s="202"/>
      <c r="BP2" s="264"/>
      <c r="BQ2" s="203"/>
      <c r="BR2" s="266"/>
      <c r="BS2" s="264"/>
      <c r="BT2" s="268"/>
      <c r="BU2" s="262"/>
      <c r="BV2" s="131"/>
      <c r="BW2" s="122"/>
      <c r="BX2" s="122"/>
      <c r="BY2" s="122"/>
      <c r="BZ2" s="122"/>
      <c r="CA2" s="122"/>
      <c r="CB2" s="122"/>
      <c r="CC2" s="122"/>
      <c r="CD2" s="132"/>
      <c r="CE2" s="122"/>
      <c r="CF2" s="132"/>
      <c r="CG2" s="122"/>
      <c r="CH2" s="132"/>
      <c r="CI2" s="122"/>
      <c r="CJ2" s="132"/>
      <c r="CK2" s="122"/>
      <c r="CL2" s="133"/>
      <c r="CM2" s="134"/>
      <c r="CN2" s="133"/>
      <c r="CO2" s="204"/>
      <c r="CP2" s="136"/>
      <c r="CQ2" s="202"/>
      <c r="CR2" s="264"/>
      <c r="CS2" s="203"/>
      <c r="CT2" s="266"/>
      <c r="CU2" s="264"/>
      <c r="CV2" s="268"/>
      <c r="CW2" s="262"/>
      <c r="CX2" s="205"/>
      <c r="CY2" s="270"/>
      <c r="CZ2" s="270"/>
      <c r="DA2" s="270"/>
      <c r="DB2" s="270"/>
      <c r="DC2" s="270"/>
      <c r="DD2" s="270"/>
      <c r="DE2" s="270"/>
      <c r="DF2" s="206"/>
      <c r="DG2" s="270"/>
      <c r="DH2" s="99"/>
      <c r="DI2" s="270"/>
      <c r="DJ2" s="99"/>
      <c r="DK2" s="270"/>
      <c r="DL2" s="99"/>
      <c r="DM2" s="270"/>
      <c r="DN2" s="99"/>
      <c r="DO2" s="270"/>
      <c r="DP2" s="99"/>
      <c r="DQ2" s="123"/>
      <c r="DR2" s="102"/>
      <c r="DS2" s="202"/>
      <c r="DT2" s="264"/>
      <c r="DU2" s="203"/>
      <c r="DV2" s="266"/>
      <c r="DW2" s="264"/>
      <c r="DX2" s="268"/>
      <c r="DY2" s="262"/>
      <c r="DZ2" s="205"/>
      <c r="EA2" s="270"/>
      <c r="EB2" s="270"/>
      <c r="EC2" s="270"/>
      <c r="ED2" s="270"/>
      <c r="EE2" s="270"/>
      <c r="EF2" s="270"/>
      <c r="EG2" s="270"/>
      <c r="EH2" s="206"/>
      <c r="EI2" s="270"/>
      <c r="EJ2" s="99"/>
      <c r="EK2" s="270"/>
      <c r="EL2" s="99"/>
      <c r="EM2" s="270"/>
      <c r="EN2" s="99"/>
      <c r="EO2" s="270"/>
      <c r="EP2" s="99"/>
      <c r="EQ2" s="270"/>
      <c r="ER2" s="99"/>
      <c r="ES2" s="123"/>
      <c r="ET2" s="139"/>
      <c r="EU2" s="103"/>
      <c r="EV2" s="103"/>
      <c r="EW2" s="104"/>
      <c r="EX2" s="105"/>
      <c r="EY2" s="106"/>
      <c r="EZ2" s="107"/>
      <c r="FA2" s="107"/>
      <c r="FB2" s="107"/>
      <c r="FC2" s="107"/>
      <c r="FD2" s="107"/>
      <c r="FE2" s="107"/>
      <c r="FF2" s="108"/>
      <c r="FG2" s="108"/>
      <c r="FH2" s="109"/>
      <c r="FI2" s="106"/>
      <c r="FJ2" s="107"/>
      <c r="FK2" s="107"/>
      <c r="FL2" s="107"/>
      <c r="FM2" s="107"/>
      <c r="FN2" s="107"/>
      <c r="FO2" s="107"/>
      <c r="FP2" s="108"/>
      <c r="FQ2" s="108"/>
      <c r="FR2" s="109"/>
      <c r="FS2" s="110"/>
      <c r="FT2" s="107"/>
      <c r="FU2" s="107"/>
      <c r="FV2" s="107"/>
      <c r="FW2" s="107"/>
      <c r="FX2" s="107"/>
      <c r="FY2" s="107"/>
      <c r="FZ2" s="207"/>
      <c r="GA2" s="207"/>
      <c r="GB2" s="207"/>
      <c r="GC2" s="207"/>
      <c r="GD2" s="207"/>
      <c r="GE2" s="207"/>
      <c r="GF2" s="207"/>
      <c r="GG2" s="207"/>
      <c r="GH2" s="207"/>
      <c r="GI2" s="207"/>
      <c r="GJ2" s="208"/>
      <c r="GK2" s="208"/>
      <c r="GL2" s="208"/>
      <c r="GM2" s="208"/>
      <c r="GN2" s="208"/>
      <c r="GO2" s="208"/>
      <c r="GP2" s="208"/>
      <c r="GQ2" s="207"/>
      <c r="GR2" s="207"/>
      <c r="GS2" s="207"/>
      <c r="GT2" s="207"/>
      <c r="GU2" s="207"/>
      <c r="GV2" s="207"/>
      <c r="GW2" s="207"/>
      <c r="GX2" s="207"/>
      <c r="GY2" s="207"/>
      <c r="GZ2" s="207"/>
      <c r="HA2" s="207"/>
      <c r="HB2" s="207"/>
      <c r="HC2" s="207"/>
      <c r="HD2" s="207"/>
      <c r="HE2" s="207"/>
    </row>
    <row r="3" spans="1:213" s="209" customFormat="1" ht="15.75" customHeight="1" x14ac:dyDescent="0.25">
      <c r="A3" s="217" t="s">
        <v>137</v>
      </c>
      <c r="B3" s="191"/>
      <c r="C3" s="257"/>
      <c r="D3" s="210"/>
      <c r="E3" s="193"/>
      <c r="F3" s="194"/>
      <c r="G3" s="195"/>
      <c r="H3" s="194"/>
      <c r="I3" s="196"/>
      <c r="J3" s="255"/>
      <c r="K3" s="211"/>
      <c r="L3" s="211"/>
      <c r="M3" s="255"/>
      <c r="N3" s="211"/>
      <c r="O3" s="255"/>
      <c r="P3" s="255"/>
      <c r="Q3" s="212"/>
      <c r="R3" s="213"/>
      <c r="S3" s="195"/>
      <c r="T3" s="200"/>
      <c r="U3" s="196"/>
      <c r="V3" s="255"/>
      <c r="W3" s="211"/>
      <c r="X3" s="211"/>
      <c r="Y3" s="255"/>
      <c r="Z3" s="211"/>
      <c r="AA3" s="255"/>
      <c r="AB3" s="255"/>
      <c r="AC3" s="212"/>
      <c r="AD3" s="214"/>
      <c r="AE3" s="195"/>
      <c r="AF3" s="200"/>
      <c r="AG3" s="196"/>
      <c r="AH3" s="255"/>
      <c r="AI3" s="211"/>
      <c r="AJ3" s="211"/>
      <c r="AK3" s="255"/>
      <c r="AL3" s="211"/>
      <c r="AM3" s="255"/>
      <c r="AN3" s="255"/>
      <c r="AO3" s="212"/>
      <c r="AP3" s="214"/>
      <c r="AQ3" s="195"/>
      <c r="AR3" s="200"/>
      <c r="AS3" s="196"/>
      <c r="AT3" s="255"/>
      <c r="AU3" s="211"/>
      <c r="AV3" s="211"/>
      <c r="AW3" s="255"/>
      <c r="AX3" s="211"/>
      <c r="AY3" s="261"/>
      <c r="AZ3" s="255"/>
      <c r="BA3" s="255"/>
      <c r="BB3" s="259"/>
      <c r="BC3" s="195"/>
      <c r="BD3" s="200"/>
      <c r="BE3" s="196"/>
      <c r="BF3" s="255"/>
      <c r="BG3" s="211"/>
      <c r="BH3" s="211"/>
      <c r="BI3" s="255"/>
      <c r="BJ3" s="211"/>
      <c r="BK3" s="255"/>
      <c r="BL3" s="255"/>
      <c r="BM3" s="255"/>
      <c r="BN3" s="259"/>
      <c r="BO3" s="202"/>
      <c r="BP3" s="265"/>
      <c r="BQ3" s="215"/>
      <c r="BR3" s="267"/>
      <c r="BS3" s="265"/>
      <c r="BT3" s="269"/>
      <c r="BU3" s="263"/>
      <c r="BV3" s="131"/>
      <c r="BW3" s="122"/>
      <c r="BX3" s="122"/>
      <c r="BY3" s="122"/>
      <c r="BZ3" s="122"/>
      <c r="CA3" s="122"/>
      <c r="CB3" s="122"/>
      <c r="CC3" s="122"/>
      <c r="CD3" s="132"/>
      <c r="CE3" s="122"/>
      <c r="CF3" s="132"/>
      <c r="CG3" s="122"/>
      <c r="CH3" s="132"/>
      <c r="CI3" s="122"/>
      <c r="CJ3" s="132"/>
      <c r="CK3" s="122"/>
      <c r="CL3" s="133"/>
      <c r="CM3" s="134"/>
      <c r="CN3" s="133"/>
      <c r="CO3" s="135"/>
      <c r="CP3" s="136"/>
      <c r="CQ3" s="202"/>
      <c r="CR3" s="265"/>
      <c r="CS3" s="215"/>
      <c r="CT3" s="267"/>
      <c r="CU3" s="265"/>
      <c r="CV3" s="269"/>
      <c r="CW3" s="263"/>
      <c r="CX3" s="216"/>
      <c r="CY3" s="270"/>
      <c r="CZ3" s="270"/>
      <c r="DA3" s="270"/>
      <c r="DB3" s="270"/>
      <c r="DC3" s="270"/>
      <c r="DD3" s="270"/>
      <c r="DE3" s="270"/>
      <c r="DF3" s="206"/>
      <c r="DG3" s="270"/>
      <c r="DH3" s="99"/>
      <c r="DI3" s="270"/>
      <c r="DJ3" s="99"/>
      <c r="DK3" s="270"/>
      <c r="DL3" s="99"/>
      <c r="DM3" s="270"/>
      <c r="DN3" s="99"/>
      <c r="DO3" s="270"/>
      <c r="DP3" s="99"/>
      <c r="DQ3" s="123"/>
      <c r="DR3" s="102"/>
      <c r="DS3" s="202"/>
      <c r="DT3" s="265"/>
      <c r="DU3" s="215"/>
      <c r="DV3" s="267"/>
      <c r="DW3" s="265"/>
      <c r="DX3" s="269"/>
      <c r="DY3" s="263"/>
      <c r="DZ3" s="216"/>
      <c r="EA3" s="270"/>
      <c r="EB3" s="270"/>
      <c r="EC3" s="270"/>
      <c r="ED3" s="270"/>
      <c r="EE3" s="270"/>
      <c r="EF3" s="270"/>
      <c r="EG3" s="270"/>
      <c r="EH3" s="206"/>
      <c r="EI3" s="270"/>
      <c r="EJ3" s="99"/>
      <c r="EK3" s="270"/>
      <c r="EL3" s="99"/>
      <c r="EM3" s="270"/>
      <c r="EN3" s="99"/>
      <c r="EO3" s="270"/>
      <c r="EP3" s="99"/>
      <c r="EQ3" s="270"/>
      <c r="ER3" s="99"/>
      <c r="ES3" s="123"/>
      <c r="ET3" s="139"/>
      <c r="EU3" s="103"/>
      <c r="EV3" s="103"/>
      <c r="EW3" s="104"/>
      <c r="EX3" s="105"/>
      <c r="EY3" s="106"/>
      <c r="EZ3" s="107"/>
      <c r="FA3" s="107"/>
      <c r="FB3" s="107"/>
      <c r="FC3" s="107"/>
      <c r="FD3" s="107"/>
      <c r="FE3" s="107"/>
      <c r="FF3" s="108"/>
      <c r="FG3" s="108"/>
      <c r="FH3" s="109"/>
      <c r="FI3" s="106"/>
      <c r="FJ3" s="107"/>
      <c r="FK3" s="107"/>
      <c r="FL3" s="107"/>
      <c r="FM3" s="107"/>
      <c r="FN3" s="107"/>
      <c r="FO3" s="107"/>
      <c r="FP3" s="108"/>
      <c r="FQ3" s="108"/>
      <c r="FR3" s="109"/>
      <c r="FS3" s="110"/>
      <c r="FT3" s="107"/>
      <c r="FU3" s="107"/>
      <c r="FV3" s="107"/>
      <c r="FW3" s="107"/>
      <c r="FX3" s="107"/>
      <c r="FY3" s="107"/>
      <c r="FZ3" s="207"/>
      <c r="GA3" s="207"/>
      <c r="GB3" s="207"/>
      <c r="GC3" s="207"/>
      <c r="GD3" s="207"/>
      <c r="GE3" s="207"/>
      <c r="GF3" s="207"/>
      <c r="GG3" s="207"/>
      <c r="GH3" s="207"/>
      <c r="GI3" s="207"/>
      <c r="GJ3" s="208"/>
      <c r="GK3" s="208"/>
      <c r="GL3" s="208"/>
      <c r="GM3" s="208"/>
      <c r="GN3" s="208"/>
      <c r="GO3" s="208"/>
      <c r="GP3" s="208"/>
      <c r="GQ3" s="207"/>
      <c r="GR3" s="207"/>
      <c r="GS3" s="207"/>
      <c r="GT3" s="207"/>
      <c r="GU3" s="207"/>
      <c r="GV3" s="207"/>
      <c r="GW3" s="207"/>
      <c r="GX3" s="207"/>
      <c r="GY3" s="207"/>
      <c r="GZ3" s="207"/>
      <c r="HA3" s="207"/>
      <c r="HB3" s="207"/>
      <c r="HC3" s="207"/>
      <c r="HD3" s="207"/>
      <c r="HE3" s="207"/>
    </row>
    <row r="4" spans="1:213" s="209" customFormat="1" ht="15.75" customHeight="1" x14ac:dyDescent="0.25">
      <c r="A4" s="217" t="s">
        <v>139</v>
      </c>
      <c r="B4" s="191"/>
      <c r="C4" s="256" t="s">
        <v>140</v>
      </c>
      <c r="D4" s="192"/>
      <c r="E4" s="193"/>
      <c r="F4" s="194"/>
      <c r="G4" s="195"/>
      <c r="H4" s="194"/>
      <c r="I4" s="196"/>
      <c r="J4" s="254"/>
      <c r="K4" s="197"/>
      <c r="L4" s="197"/>
      <c r="M4" s="254"/>
      <c r="N4" s="197"/>
      <c r="O4" s="254"/>
      <c r="P4" s="254"/>
      <c r="Q4" s="198"/>
      <c r="R4" s="199"/>
      <c r="S4" s="195"/>
      <c r="T4" s="200"/>
      <c r="U4" s="196"/>
      <c r="V4" s="254"/>
      <c r="W4" s="197"/>
      <c r="X4" s="197"/>
      <c r="Y4" s="254"/>
      <c r="Z4" s="197"/>
      <c r="AA4" s="254"/>
      <c r="AB4" s="254"/>
      <c r="AC4" s="198"/>
      <c r="AD4" s="201"/>
      <c r="AE4" s="195"/>
      <c r="AF4" s="200"/>
      <c r="AG4" s="196"/>
      <c r="AH4" s="254"/>
      <c r="AI4" s="197"/>
      <c r="AJ4" s="197"/>
      <c r="AK4" s="254"/>
      <c r="AL4" s="197"/>
      <c r="AM4" s="254"/>
      <c r="AN4" s="254"/>
      <c r="AO4" s="198"/>
      <c r="AP4" s="201"/>
      <c r="AQ4" s="195"/>
      <c r="AR4" s="200"/>
      <c r="AS4" s="196"/>
      <c r="AT4" s="254"/>
      <c r="AU4" s="197"/>
      <c r="AV4" s="197"/>
      <c r="AW4" s="254"/>
      <c r="AX4" s="197"/>
      <c r="AY4" s="260"/>
      <c r="AZ4" s="254"/>
      <c r="BA4" s="254"/>
      <c r="BB4" s="258"/>
      <c r="BC4" s="195"/>
      <c r="BD4" s="200"/>
      <c r="BE4" s="196"/>
      <c r="BF4" s="254"/>
      <c r="BG4" s="197"/>
      <c r="BH4" s="197"/>
      <c r="BI4" s="254"/>
      <c r="BJ4" s="197"/>
      <c r="BK4" s="254"/>
      <c r="BL4" s="254"/>
      <c r="BM4" s="254"/>
      <c r="BN4" s="258"/>
      <c r="BO4" s="202"/>
      <c r="BP4" s="264"/>
      <c r="BQ4" s="203"/>
      <c r="BR4" s="266"/>
      <c r="BS4" s="264"/>
      <c r="BT4" s="268"/>
      <c r="BU4" s="262"/>
      <c r="BV4" s="131"/>
      <c r="BW4" s="122"/>
      <c r="BX4" s="122"/>
      <c r="BY4" s="122"/>
      <c r="BZ4" s="122"/>
      <c r="CA4" s="122"/>
      <c r="CB4" s="122"/>
      <c r="CC4" s="122"/>
      <c r="CD4" s="132"/>
      <c r="CE4" s="122"/>
      <c r="CF4" s="132"/>
      <c r="CG4" s="122"/>
      <c r="CH4" s="132"/>
      <c r="CI4" s="122"/>
      <c r="CJ4" s="132"/>
      <c r="CK4" s="122"/>
      <c r="CL4" s="133"/>
      <c r="CM4" s="134"/>
      <c r="CN4" s="133"/>
      <c r="CO4" s="204"/>
      <c r="CP4" s="136"/>
      <c r="CQ4" s="202"/>
      <c r="CR4" s="264"/>
      <c r="CS4" s="203"/>
      <c r="CT4" s="266"/>
      <c r="CU4" s="264"/>
      <c r="CV4" s="268"/>
      <c r="CW4" s="262"/>
      <c r="CX4" s="205"/>
      <c r="CY4" s="270"/>
      <c r="CZ4" s="270"/>
      <c r="DA4" s="270"/>
      <c r="DB4" s="270"/>
      <c r="DC4" s="270"/>
      <c r="DD4" s="270"/>
      <c r="DE4" s="270"/>
      <c r="DF4" s="206"/>
      <c r="DG4" s="270"/>
      <c r="DH4" s="99"/>
      <c r="DI4" s="270"/>
      <c r="DJ4" s="99"/>
      <c r="DK4" s="270"/>
      <c r="DL4" s="99"/>
      <c r="DM4" s="270"/>
      <c r="DN4" s="99"/>
      <c r="DO4" s="270"/>
      <c r="DP4" s="99"/>
      <c r="DQ4" s="123"/>
      <c r="DR4" s="102"/>
      <c r="DS4" s="202"/>
      <c r="DT4" s="264"/>
      <c r="DU4" s="203"/>
      <c r="DV4" s="266"/>
      <c r="DW4" s="264"/>
      <c r="DX4" s="268"/>
      <c r="DY4" s="262"/>
      <c r="DZ4" s="205"/>
      <c r="EA4" s="270"/>
      <c r="EB4" s="270"/>
      <c r="EC4" s="270"/>
      <c r="ED4" s="270"/>
      <c r="EE4" s="270"/>
      <c r="EF4" s="270"/>
      <c r="EG4" s="270"/>
      <c r="EH4" s="206"/>
      <c r="EI4" s="270"/>
      <c r="EJ4" s="99"/>
      <c r="EK4" s="270"/>
      <c r="EL4" s="99"/>
      <c r="EM4" s="270"/>
      <c r="EN4" s="99"/>
      <c r="EO4" s="270"/>
      <c r="EP4" s="99"/>
      <c r="EQ4" s="270"/>
      <c r="ER4" s="99"/>
      <c r="ES4" s="123"/>
      <c r="ET4" s="139"/>
      <c r="EU4" s="103"/>
      <c r="EV4" s="103"/>
      <c r="EW4" s="104"/>
      <c r="EX4" s="105"/>
      <c r="EY4" s="106"/>
      <c r="EZ4" s="107"/>
      <c r="FA4" s="107"/>
      <c r="FB4" s="107"/>
      <c r="FC4" s="107"/>
      <c r="FD4" s="107"/>
      <c r="FE4" s="107"/>
      <c r="FF4" s="108"/>
      <c r="FG4" s="108"/>
      <c r="FH4" s="109"/>
      <c r="FI4" s="106"/>
      <c r="FJ4" s="107"/>
      <c r="FK4" s="107"/>
      <c r="FL4" s="107"/>
      <c r="FM4" s="107"/>
      <c r="FN4" s="107"/>
      <c r="FO4" s="107"/>
      <c r="FP4" s="108"/>
      <c r="FQ4" s="108"/>
      <c r="FR4" s="109"/>
      <c r="FS4" s="110"/>
      <c r="FT4" s="107"/>
      <c r="FU4" s="107"/>
      <c r="FV4" s="107"/>
      <c r="FW4" s="107"/>
      <c r="FX4" s="107"/>
      <c r="FY4" s="107"/>
      <c r="FZ4" s="207"/>
      <c r="GA4" s="207"/>
      <c r="GB4" s="207"/>
      <c r="GC4" s="207"/>
      <c r="GD4" s="207"/>
      <c r="GE4" s="207"/>
      <c r="GF4" s="207"/>
      <c r="GG4" s="207"/>
      <c r="GH4" s="207"/>
      <c r="GI4" s="207"/>
      <c r="GJ4" s="208"/>
      <c r="GK4" s="208"/>
      <c r="GL4" s="208"/>
      <c r="GM4" s="208"/>
      <c r="GN4" s="208"/>
      <c r="GO4" s="208"/>
      <c r="GP4" s="208"/>
      <c r="GQ4" s="207"/>
      <c r="GR4" s="207"/>
      <c r="GS4" s="207"/>
      <c r="GT4" s="207"/>
      <c r="GU4" s="207"/>
      <c r="GV4" s="207"/>
      <c r="GW4" s="207"/>
      <c r="GX4" s="207"/>
      <c r="GY4" s="207"/>
      <c r="GZ4" s="207"/>
      <c r="HA4" s="207"/>
      <c r="HB4" s="207"/>
      <c r="HC4" s="207"/>
      <c r="HD4" s="207"/>
      <c r="HE4" s="207"/>
    </row>
    <row r="5" spans="1:213" s="209" customFormat="1" ht="15.75" customHeight="1" x14ac:dyDescent="0.25">
      <c r="A5" s="217" t="s">
        <v>139</v>
      </c>
      <c r="B5" s="191"/>
      <c r="C5" s="257"/>
      <c r="D5" s="210"/>
      <c r="E5" s="193"/>
      <c r="F5" s="194"/>
      <c r="G5" s="195"/>
      <c r="H5" s="194"/>
      <c r="I5" s="196"/>
      <c r="J5" s="255"/>
      <c r="K5" s="211"/>
      <c r="L5" s="211"/>
      <c r="M5" s="255"/>
      <c r="N5" s="211"/>
      <c r="O5" s="255"/>
      <c r="P5" s="255"/>
      <c r="Q5" s="212"/>
      <c r="R5" s="213"/>
      <c r="S5" s="195"/>
      <c r="T5" s="200"/>
      <c r="U5" s="196"/>
      <c r="V5" s="255"/>
      <c r="W5" s="211"/>
      <c r="X5" s="211"/>
      <c r="Y5" s="255"/>
      <c r="Z5" s="211"/>
      <c r="AA5" s="255"/>
      <c r="AB5" s="255"/>
      <c r="AC5" s="212"/>
      <c r="AD5" s="214"/>
      <c r="AE5" s="195"/>
      <c r="AF5" s="200"/>
      <c r="AG5" s="196"/>
      <c r="AH5" s="255"/>
      <c r="AI5" s="211"/>
      <c r="AJ5" s="211"/>
      <c r="AK5" s="255"/>
      <c r="AL5" s="211"/>
      <c r="AM5" s="255"/>
      <c r="AN5" s="255"/>
      <c r="AO5" s="212"/>
      <c r="AP5" s="214"/>
      <c r="AQ5" s="195"/>
      <c r="AR5" s="200"/>
      <c r="AS5" s="196"/>
      <c r="AT5" s="255"/>
      <c r="AU5" s="211"/>
      <c r="AV5" s="211"/>
      <c r="AW5" s="255"/>
      <c r="AX5" s="211"/>
      <c r="AY5" s="261"/>
      <c r="AZ5" s="255"/>
      <c r="BA5" s="255"/>
      <c r="BB5" s="259"/>
      <c r="BC5" s="195"/>
      <c r="BD5" s="200"/>
      <c r="BE5" s="196"/>
      <c r="BF5" s="255"/>
      <c r="BG5" s="211"/>
      <c r="BH5" s="211"/>
      <c r="BI5" s="255"/>
      <c r="BJ5" s="211"/>
      <c r="BK5" s="255"/>
      <c r="BL5" s="255"/>
      <c r="BM5" s="255"/>
      <c r="BN5" s="259"/>
      <c r="BO5" s="202"/>
      <c r="BP5" s="265"/>
      <c r="BQ5" s="215"/>
      <c r="BR5" s="267"/>
      <c r="BS5" s="265"/>
      <c r="BT5" s="269"/>
      <c r="BU5" s="263"/>
      <c r="BV5" s="131"/>
      <c r="BW5" s="122"/>
      <c r="BX5" s="122"/>
      <c r="BY5" s="122"/>
      <c r="BZ5" s="122"/>
      <c r="CA5" s="122"/>
      <c r="CB5" s="122"/>
      <c r="CC5" s="122"/>
      <c r="CD5" s="132"/>
      <c r="CE5" s="122"/>
      <c r="CF5" s="132"/>
      <c r="CG5" s="122"/>
      <c r="CH5" s="132"/>
      <c r="CI5" s="122"/>
      <c r="CJ5" s="132"/>
      <c r="CK5" s="122"/>
      <c r="CL5" s="133"/>
      <c r="CM5" s="134"/>
      <c r="CN5" s="133"/>
      <c r="CO5" s="135"/>
      <c r="CP5" s="136"/>
      <c r="CQ5" s="202"/>
      <c r="CR5" s="265"/>
      <c r="CS5" s="215"/>
      <c r="CT5" s="267"/>
      <c r="CU5" s="265"/>
      <c r="CV5" s="269"/>
      <c r="CW5" s="263"/>
      <c r="CX5" s="216"/>
      <c r="CY5" s="270"/>
      <c r="CZ5" s="270"/>
      <c r="DA5" s="270"/>
      <c r="DB5" s="270"/>
      <c r="DC5" s="270"/>
      <c r="DD5" s="270"/>
      <c r="DE5" s="270"/>
      <c r="DF5" s="206"/>
      <c r="DG5" s="270"/>
      <c r="DH5" s="99"/>
      <c r="DI5" s="270"/>
      <c r="DJ5" s="99"/>
      <c r="DK5" s="270"/>
      <c r="DL5" s="99"/>
      <c r="DM5" s="270"/>
      <c r="DN5" s="99"/>
      <c r="DO5" s="270"/>
      <c r="DP5" s="99"/>
      <c r="DQ5" s="123"/>
      <c r="DR5" s="102"/>
      <c r="DS5" s="202"/>
      <c r="DT5" s="265"/>
      <c r="DU5" s="215"/>
      <c r="DV5" s="267"/>
      <c r="DW5" s="265"/>
      <c r="DX5" s="269"/>
      <c r="DY5" s="263"/>
      <c r="DZ5" s="216"/>
      <c r="EA5" s="270"/>
      <c r="EB5" s="270"/>
      <c r="EC5" s="270"/>
      <c r="ED5" s="270"/>
      <c r="EE5" s="270"/>
      <c r="EF5" s="270"/>
      <c r="EG5" s="270"/>
      <c r="EH5" s="206"/>
      <c r="EI5" s="270"/>
      <c r="EJ5" s="99"/>
      <c r="EK5" s="270"/>
      <c r="EL5" s="99"/>
      <c r="EM5" s="270"/>
      <c r="EN5" s="99"/>
      <c r="EO5" s="270"/>
      <c r="EP5" s="99"/>
      <c r="EQ5" s="270"/>
      <c r="ER5" s="99"/>
      <c r="ES5" s="123"/>
      <c r="ET5" s="139"/>
      <c r="EU5" s="103"/>
      <c r="EV5" s="103"/>
      <c r="EW5" s="104"/>
      <c r="EX5" s="105"/>
      <c r="EY5" s="106"/>
      <c r="EZ5" s="107"/>
      <c r="FA5" s="107"/>
      <c r="FB5" s="107"/>
      <c r="FC5" s="107"/>
      <c r="FD5" s="107"/>
      <c r="FE5" s="107"/>
      <c r="FF5" s="108"/>
      <c r="FG5" s="108"/>
      <c r="FH5" s="109"/>
      <c r="FI5" s="106"/>
      <c r="FJ5" s="107"/>
      <c r="FK5" s="107"/>
      <c r="FL5" s="107"/>
      <c r="FM5" s="107"/>
      <c r="FN5" s="107"/>
      <c r="FO5" s="107"/>
      <c r="FP5" s="108"/>
      <c r="FQ5" s="108"/>
      <c r="FR5" s="109"/>
      <c r="FS5" s="110"/>
      <c r="FT5" s="107"/>
      <c r="FU5" s="107"/>
      <c r="FV5" s="107"/>
      <c r="FW5" s="107"/>
      <c r="FX5" s="107"/>
      <c r="FY5" s="107"/>
      <c r="FZ5" s="207"/>
      <c r="GA5" s="207"/>
      <c r="GB5" s="207"/>
      <c r="GC5" s="207"/>
      <c r="GD5" s="207"/>
      <c r="GE5" s="207"/>
      <c r="GF5" s="207"/>
      <c r="GG5" s="207"/>
      <c r="GH5" s="207"/>
      <c r="GI5" s="207"/>
      <c r="GJ5" s="208"/>
      <c r="GK5" s="208"/>
      <c r="GL5" s="208"/>
      <c r="GM5" s="208"/>
      <c r="GN5" s="208"/>
      <c r="GO5" s="208"/>
      <c r="GP5" s="208"/>
      <c r="GQ5" s="207"/>
      <c r="GR5" s="207"/>
      <c r="GS5" s="207"/>
      <c r="GT5" s="207"/>
      <c r="GU5" s="207"/>
      <c r="GV5" s="207"/>
      <c r="GW5" s="207"/>
      <c r="GX5" s="207"/>
      <c r="GY5" s="207"/>
      <c r="GZ5" s="207"/>
      <c r="HA5" s="207"/>
      <c r="HB5" s="207"/>
      <c r="HC5" s="207"/>
      <c r="HD5" s="207"/>
      <c r="HE5" s="207"/>
    </row>
    <row r="7" spans="1:213" ht="15.75" customHeight="1" x14ac:dyDescent="0.25">
      <c r="A7" s="79" t="s">
        <v>125</v>
      </c>
      <c r="B7" s="80"/>
      <c r="C7" s="81" t="s">
        <v>126</v>
      </c>
      <c r="D7" s="82"/>
      <c r="E7" s="83"/>
      <c r="F7" s="84"/>
      <c r="G7" s="85"/>
      <c r="H7" s="84"/>
      <c r="I7" s="86"/>
      <c r="J7" s="87"/>
      <c r="K7" s="87"/>
      <c r="L7" s="87"/>
      <c r="M7" s="88"/>
      <c r="N7" s="88"/>
      <c r="O7" s="88"/>
      <c r="P7" s="88"/>
      <c r="Q7" s="89"/>
      <c r="R7" s="90"/>
      <c r="S7" s="85"/>
      <c r="T7" s="91"/>
      <c r="U7" s="86"/>
      <c r="V7" s="87"/>
      <c r="W7" s="87"/>
      <c r="X7" s="87"/>
      <c r="Y7" s="88"/>
      <c r="Z7" s="88"/>
      <c r="AA7" s="88"/>
      <c r="AB7" s="88"/>
      <c r="AC7" s="89"/>
      <c r="AD7" s="92"/>
      <c r="AE7" s="85"/>
      <c r="AF7" s="91"/>
      <c r="AG7" s="86"/>
      <c r="AH7" s="87"/>
      <c r="AI7" s="87"/>
      <c r="AJ7" s="87"/>
      <c r="AK7" s="88"/>
      <c r="AL7" s="88"/>
      <c r="AM7" s="88"/>
      <c r="AN7" s="88"/>
      <c r="AO7" s="89"/>
      <c r="AP7" s="92"/>
      <c r="AQ7" s="85"/>
      <c r="AR7" s="91"/>
      <c r="AS7" s="86"/>
      <c r="AT7" s="87"/>
      <c r="AU7" s="87"/>
      <c r="AV7" s="87"/>
      <c r="AW7" s="88"/>
      <c r="AX7" s="88"/>
      <c r="AY7" s="88"/>
      <c r="AZ7" s="88"/>
      <c r="BA7" s="88"/>
      <c r="BB7" s="93"/>
      <c r="BC7" s="85"/>
      <c r="BD7" s="91"/>
      <c r="BE7" s="86"/>
      <c r="BF7" s="87"/>
      <c r="BG7" s="87"/>
      <c r="BH7" s="87"/>
      <c r="BI7" s="88"/>
      <c r="BJ7" s="88"/>
      <c r="BK7" s="88"/>
      <c r="BL7" s="88"/>
      <c r="BM7" s="88"/>
      <c r="BN7" s="93"/>
      <c r="BO7" s="86"/>
      <c r="BP7" s="88"/>
      <c r="BQ7" s="88"/>
      <c r="BR7" s="94"/>
      <c r="BS7" s="88"/>
      <c r="BT7" s="95"/>
      <c r="BU7" s="93"/>
      <c r="BV7" s="96"/>
      <c r="BW7" s="97"/>
      <c r="BX7" s="97"/>
      <c r="BY7" s="97"/>
      <c r="BZ7" s="97"/>
      <c r="CA7" s="97"/>
      <c r="CB7" s="97"/>
      <c r="CC7" s="97"/>
      <c r="CD7" s="98"/>
      <c r="CE7" s="97"/>
      <c r="CF7" s="99"/>
      <c r="CG7" s="97"/>
      <c r="CH7" s="99"/>
      <c r="CI7" s="97"/>
      <c r="CJ7" s="99"/>
      <c r="CK7" s="97"/>
      <c r="CL7" s="100"/>
      <c r="CM7" s="101"/>
      <c r="CN7" s="100"/>
      <c r="CO7" s="101"/>
      <c r="CP7" s="102"/>
      <c r="CQ7" s="86"/>
      <c r="CR7" s="88"/>
      <c r="CS7" s="88"/>
      <c r="CT7" s="94"/>
      <c r="CU7" s="88"/>
      <c r="CV7" s="95"/>
      <c r="CW7" s="93"/>
      <c r="CX7" s="96"/>
      <c r="CY7" s="97"/>
      <c r="CZ7" s="97"/>
      <c r="DA7" s="97"/>
      <c r="DB7" s="97"/>
      <c r="DC7" s="97"/>
      <c r="DD7" s="97"/>
      <c r="DE7" s="97"/>
      <c r="DF7" s="98"/>
      <c r="DG7" s="97"/>
      <c r="DH7" s="99"/>
      <c r="DI7" s="97"/>
      <c r="DJ7" s="99"/>
      <c r="DK7" s="97"/>
      <c r="DL7" s="99"/>
      <c r="DM7" s="97"/>
      <c r="DN7" s="100"/>
      <c r="DO7" s="101"/>
      <c r="DP7" s="100"/>
      <c r="DQ7" s="101"/>
      <c r="DR7" s="102"/>
      <c r="DS7" s="86"/>
      <c r="DT7" s="88"/>
      <c r="DU7" s="88"/>
      <c r="DV7" s="94"/>
      <c r="DW7" s="88"/>
      <c r="DX7" s="95"/>
      <c r="DY7" s="93"/>
      <c r="DZ7" s="96"/>
      <c r="EA7" s="97"/>
      <c r="EB7" s="97"/>
      <c r="EC7" s="97"/>
      <c r="ED7" s="97"/>
      <c r="EE7" s="97"/>
      <c r="EF7" s="97"/>
      <c r="EG7" s="97"/>
      <c r="EH7" s="98"/>
      <c r="EI7" s="97"/>
      <c r="EJ7" s="99"/>
      <c r="EK7" s="97"/>
      <c r="EL7" s="99"/>
      <c r="EM7" s="97"/>
      <c r="EN7" s="99"/>
      <c r="EO7" s="97"/>
      <c r="EP7" s="100"/>
      <c r="EQ7" s="101"/>
      <c r="ER7" s="100"/>
      <c r="ES7" s="101"/>
      <c r="ET7" s="102"/>
      <c r="EU7" s="103"/>
      <c r="EV7" s="103"/>
      <c r="EW7" s="104"/>
      <c r="EX7" s="105"/>
    </row>
    <row r="8" spans="1:213" s="113" customFormat="1" ht="15.75" customHeight="1" x14ac:dyDescent="0.25">
      <c r="A8" s="114" t="s">
        <v>127</v>
      </c>
      <c r="B8" s="115"/>
      <c r="C8" s="116" t="s">
        <v>128</v>
      </c>
      <c r="D8" s="117"/>
      <c r="E8" s="118"/>
      <c r="F8" s="119"/>
      <c r="G8" s="120"/>
      <c r="H8" s="119"/>
      <c r="I8" s="121"/>
      <c r="J8" s="122"/>
      <c r="K8" s="122"/>
      <c r="L8" s="122"/>
      <c r="M8" s="123"/>
      <c r="N8" s="123"/>
      <c r="O8" s="122"/>
      <c r="P8" s="122"/>
      <c r="Q8" s="124"/>
      <c r="R8" s="125"/>
      <c r="S8" s="120"/>
      <c r="T8" s="126"/>
      <c r="U8" s="121"/>
      <c r="V8" s="122"/>
      <c r="W8" s="122"/>
      <c r="X8" s="122"/>
      <c r="Y8" s="123"/>
      <c r="Z8" s="123"/>
      <c r="AA8" s="122"/>
      <c r="AB8" s="122"/>
      <c r="AC8" s="124"/>
      <c r="AD8" s="127"/>
      <c r="AE8" s="120"/>
      <c r="AF8" s="126"/>
      <c r="AG8" s="121"/>
      <c r="AH8" s="122"/>
      <c r="AI8" s="122"/>
      <c r="AJ8" s="122"/>
      <c r="AK8" s="123"/>
      <c r="AL8" s="123"/>
      <c r="AM8" s="122"/>
      <c r="AN8" s="122"/>
      <c r="AO8" s="124"/>
      <c r="AP8" s="127"/>
      <c r="AQ8" s="120"/>
      <c r="AR8" s="126"/>
      <c r="AS8" s="121"/>
      <c r="AT8" s="122"/>
      <c r="AU8" s="122"/>
      <c r="AV8" s="122"/>
      <c r="AW8" s="123"/>
      <c r="AX8" s="123"/>
      <c r="AY8" s="125"/>
      <c r="AZ8" s="125"/>
      <c r="BA8" s="122"/>
      <c r="BB8" s="128"/>
      <c r="BC8" s="120"/>
      <c r="BD8" s="126"/>
      <c r="BE8" s="121"/>
      <c r="BF8" s="122"/>
      <c r="BG8" s="122"/>
      <c r="BH8" s="122"/>
      <c r="BI8" s="123"/>
      <c r="BJ8" s="123"/>
      <c r="BK8" s="122"/>
      <c r="BL8" s="122"/>
      <c r="BM8" s="122"/>
      <c r="BN8" s="128"/>
      <c r="BO8" s="121"/>
      <c r="BP8" s="122"/>
      <c r="BQ8" s="122"/>
      <c r="BR8" s="129"/>
      <c r="BS8" s="122"/>
      <c r="BT8" s="130"/>
      <c r="BU8" s="128"/>
      <c r="BV8" s="131"/>
      <c r="BW8" s="122"/>
      <c r="BX8" s="122"/>
      <c r="BY8" s="122"/>
      <c r="BZ8" s="122"/>
      <c r="CA8" s="122"/>
      <c r="CB8" s="122"/>
      <c r="CC8" s="122"/>
      <c r="CD8" s="132"/>
      <c r="CE8" s="122"/>
      <c r="CF8" s="132"/>
      <c r="CG8" s="122"/>
      <c r="CH8" s="132"/>
      <c r="CI8" s="122"/>
      <c r="CJ8" s="132"/>
      <c r="CK8" s="122"/>
      <c r="CL8" s="133"/>
      <c r="CM8" s="134"/>
      <c r="CN8" s="133"/>
      <c r="CO8" s="135"/>
      <c r="CP8" s="136"/>
      <c r="CQ8" s="121"/>
      <c r="CR8" s="122"/>
      <c r="CS8" s="122"/>
      <c r="CT8" s="129"/>
      <c r="CU8" s="122"/>
      <c r="CV8" s="130"/>
      <c r="CW8" s="128"/>
      <c r="CX8" s="137"/>
      <c r="CY8" s="122"/>
      <c r="CZ8" s="122"/>
      <c r="DA8" s="122"/>
      <c r="DB8" s="122"/>
      <c r="DC8" s="122"/>
      <c r="DD8" s="122"/>
      <c r="DE8" s="122"/>
      <c r="DF8" s="138"/>
      <c r="DG8" s="122"/>
      <c r="DH8" s="99"/>
      <c r="DI8" s="122"/>
      <c r="DJ8" s="99"/>
      <c r="DK8" s="122"/>
      <c r="DL8" s="99"/>
      <c r="DM8" s="122"/>
      <c r="DN8" s="139"/>
      <c r="DO8" s="134"/>
      <c r="DP8" s="139"/>
      <c r="DQ8" s="134"/>
      <c r="DR8" s="102"/>
      <c r="DS8" s="121"/>
      <c r="DT8" s="122"/>
      <c r="DU8" s="122"/>
      <c r="DV8" s="129"/>
      <c r="DW8" s="122"/>
      <c r="DX8" s="130"/>
      <c r="DY8" s="128"/>
      <c r="DZ8" s="137"/>
      <c r="EA8" s="122"/>
      <c r="EB8" s="122"/>
      <c r="EC8" s="122"/>
      <c r="ED8" s="122"/>
      <c r="EE8" s="122"/>
      <c r="EF8" s="122"/>
      <c r="EG8" s="122"/>
      <c r="EH8" s="138"/>
      <c r="EI8" s="122"/>
      <c r="EJ8" s="99"/>
      <c r="EK8" s="122"/>
      <c r="EL8" s="99"/>
      <c r="EM8" s="122"/>
      <c r="EN8" s="99"/>
      <c r="EO8" s="122"/>
      <c r="EP8" s="139"/>
      <c r="EQ8" s="134"/>
      <c r="ER8" s="139"/>
      <c r="ES8" s="134"/>
      <c r="ET8" s="139"/>
      <c r="EU8" s="103"/>
      <c r="EV8" s="103"/>
      <c r="EW8" s="104"/>
      <c r="EX8" s="105"/>
      <c r="EY8" s="106"/>
      <c r="EZ8" s="107"/>
      <c r="FA8" s="107"/>
      <c r="FB8" s="107"/>
      <c r="FC8" s="107"/>
      <c r="FD8" s="107"/>
      <c r="FE8" s="107"/>
      <c r="FF8" s="108"/>
      <c r="FG8" s="108"/>
      <c r="FH8" s="109"/>
      <c r="FI8" s="106"/>
      <c r="FJ8" s="107"/>
      <c r="FK8" s="107"/>
      <c r="FL8" s="107"/>
      <c r="FM8" s="107"/>
      <c r="FN8" s="107"/>
      <c r="FO8" s="107"/>
      <c r="FP8" s="108"/>
      <c r="FQ8" s="108"/>
      <c r="FR8" s="109"/>
      <c r="FS8" s="110"/>
      <c r="FT8" s="107"/>
      <c r="FU8" s="107"/>
      <c r="FV8" s="107"/>
      <c r="FW8" s="107"/>
      <c r="FX8" s="107"/>
      <c r="FY8" s="107"/>
      <c r="FZ8" s="111"/>
      <c r="GA8" s="111"/>
      <c r="GB8" s="111"/>
      <c r="GC8" s="111"/>
      <c r="GD8" s="111"/>
      <c r="GE8" s="111"/>
      <c r="GF8" s="111"/>
      <c r="GG8" s="111"/>
      <c r="GH8" s="111"/>
      <c r="GI8" s="111"/>
      <c r="GJ8" s="112"/>
      <c r="GK8" s="112"/>
      <c r="GL8" s="112"/>
      <c r="GM8" s="112"/>
      <c r="GN8" s="112"/>
      <c r="GO8" s="112"/>
      <c r="GP8" s="112"/>
      <c r="GQ8" s="111"/>
      <c r="GR8" s="111"/>
      <c r="GS8" s="111"/>
      <c r="GT8" s="111"/>
      <c r="GU8" s="111"/>
      <c r="GV8" s="111"/>
      <c r="GW8" s="111"/>
      <c r="GX8" s="111"/>
      <c r="GY8" s="111"/>
      <c r="GZ8" s="111"/>
      <c r="HA8" s="111"/>
      <c r="HB8" s="111"/>
      <c r="HC8" s="111"/>
      <c r="HD8" s="111"/>
      <c r="HE8" s="111"/>
    </row>
    <row r="9" spans="1:213" s="142" customFormat="1" ht="15.75" customHeight="1" x14ac:dyDescent="0.25">
      <c r="A9" s="114" t="s">
        <v>129</v>
      </c>
      <c r="B9" s="115"/>
      <c r="C9" s="116" t="s">
        <v>130</v>
      </c>
      <c r="D9" s="143"/>
      <c r="E9" s="118"/>
      <c r="F9" s="119"/>
      <c r="G9" s="120"/>
      <c r="H9" s="119"/>
      <c r="I9" s="144"/>
      <c r="J9" s="145"/>
      <c r="K9" s="145"/>
      <c r="L9" s="145"/>
      <c r="M9" s="145"/>
      <c r="N9" s="145"/>
      <c r="O9" s="145"/>
      <c r="P9" s="145"/>
      <c r="Q9" s="146"/>
      <c r="R9" s="147"/>
      <c r="S9" s="120"/>
      <c r="T9" s="126"/>
      <c r="U9" s="144"/>
      <c r="V9" s="145"/>
      <c r="W9" s="145"/>
      <c r="X9" s="145"/>
      <c r="Y9" s="145"/>
      <c r="Z9" s="145"/>
      <c r="AA9" s="145"/>
      <c r="AB9" s="145"/>
      <c r="AC9" s="146"/>
      <c r="AD9" s="148"/>
      <c r="AE9" s="120"/>
      <c r="AF9" s="126"/>
      <c r="AG9" s="144"/>
      <c r="AH9" s="145"/>
      <c r="AI9" s="145"/>
      <c r="AJ9" s="145"/>
      <c r="AK9" s="145"/>
      <c r="AL9" s="145"/>
      <c r="AM9" s="145"/>
      <c r="AN9" s="145"/>
      <c r="AO9" s="146"/>
      <c r="AP9" s="148"/>
      <c r="AQ9" s="120"/>
      <c r="AR9" s="126"/>
      <c r="AS9" s="144"/>
      <c r="AT9" s="145"/>
      <c r="AU9" s="145"/>
      <c r="AV9" s="145"/>
      <c r="AW9" s="145"/>
      <c r="AX9" s="145"/>
      <c r="AY9" s="147"/>
      <c r="AZ9" s="147"/>
      <c r="BA9" s="145"/>
      <c r="BB9" s="149"/>
      <c r="BC9" s="120"/>
      <c r="BD9" s="126"/>
      <c r="BE9" s="144"/>
      <c r="BF9" s="145"/>
      <c r="BG9" s="145"/>
      <c r="BH9" s="145"/>
      <c r="BI9" s="145"/>
      <c r="BJ9" s="145"/>
      <c r="BK9" s="145"/>
      <c r="BL9" s="145"/>
      <c r="BM9" s="145"/>
      <c r="BN9" s="149"/>
      <c r="BO9" s="144"/>
      <c r="BP9" s="145"/>
      <c r="BQ9" s="145"/>
      <c r="BR9" s="150"/>
      <c r="BS9" s="145"/>
      <c r="BT9" s="151"/>
      <c r="BU9" s="149"/>
      <c r="BV9" s="131"/>
      <c r="BW9" s="122"/>
      <c r="BX9" s="122"/>
      <c r="BY9" s="122"/>
      <c r="BZ9" s="122"/>
      <c r="CA9" s="122"/>
      <c r="CB9" s="122"/>
      <c r="CC9" s="122"/>
      <c r="CD9" s="132"/>
      <c r="CE9" s="122"/>
      <c r="CF9" s="132"/>
      <c r="CG9" s="122"/>
      <c r="CH9" s="132"/>
      <c r="CI9" s="122"/>
      <c r="CJ9" s="132"/>
      <c r="CK9" s="122"/>
      <c r="CL9" s="133"/>
      <c r="CM9" s="134"/>
      <c r="CN9" s="133"/>
      <c r="CO9" s="135"/>
      <c r="CP9" s="136"/>
      <c r="CQ9" s="144"/>
      <c r="CR9" s="145"/>
      <c r="CS9" s="145"/>
      <c r="CT9" s="150"/>
      <c r="CU9" s="145"/>
      <c r="CV9" s="151"/>
      <c r="CW9" s="149"/>
      <c r="CX9" s="137"/>
      <c r="CY9" s="122"/>
      <c r="CZ9" s="122"/>
      <c r="DA9" s="122"/>
      <c r="DB9" s="122"/>
      <c r="DC9" s="122"/>
      <c r="DD9" s="122"/>
      <c r="DE9" s="122"/>
      <c r="DF9" s="138"/>
      <c r="DG9" s="122"/>
      <c r="DH9" s="99"/>
      <c r="DI9" s="122"/>
      <c r="DJ9" s="99"/>
      <c r="DK9" s="122"/>
      <c r="DL9" s="99"/>
      <c r="DM9" s="122"/>
      <c r="DN9" s="139"/>
      <c r="DO9" s="134"/>
      <c r="DP9" s="139"/>
      <c r="DQ9" s="134"/>
      <c r="DR9" s="102"/>
      <c r="DS9" s="144"/>
      <c r="DT9" s="145"/>
      <c r="DU9" s="145"/>
      <c r="DV9" s="150"/>
      <c r="DW9" s="145"/>
      <c r="DX9" s="151"/>
      <c r="DY9" s="149"/>
      <c r="DZ9" s="137"/>
      <c r="EA9" s="122"/>
      <c r="EB9" s="122"/>
      <c r="EC9" s="122"/>
      <c r="ED9" s="122"/>
      <c r="EE9" s="122"/>
      <c r="EF9" s="122"/>
      <c r="EG9" s="122"/>
      <c r="EH9" s="138"/>
      <c r="EI9" s="122"/>
      <c r="EJ9" s="99"/>
      <c r="EK9" s="122"/>
      <c r="EL9" s="99"/>
      <c r="EM9" s="122"/>
      <c r="EN9" s="99"/>
      <c r="EO9" s="122"/>
      <c r="EP9" s="139"/>
      <c r="EQ9" s="134"/>
      <c r="ER9" s="139"/>
      <c r="ES9" s="134"/>
      <c r="ET9" s="139"/>
      <c r="EU9" s="103"/>
      <c r="EV9" s="103"/>
      <c r="EW9" s="104"/>
      <c r="EX9" s="105"/>
      <c r="EY9" s="106"/>
      <c r="EZ9" s="107"/>
      <c r="FA9" s="107"/>
      <c r="FB9" s="107"/>
      <c r="FC9" s="107"/>
      <c r="FD9" s="107"/>
      <c r="FE9" s="107"/>
      <c r="FF9" s="108"/>
      <c r="FG9" s="108"/>
      <c r="FH9" s="109"/>
      <c r="FI9" s="106"/>
      <c r="FJ9" s="107"/>
      <c r="FK9" s="107"/>
      <c r="FL9" s="107"/>
      <c r="FM9" s="107"/>
      <c r="FN9" s="107"/>
      <c r="FO9" s="107"/>
      <c r="FP9" s="108"/>
      <c r="FQ9" s="108"/>
      <c r="FR9" s="109"/>
      <c r="FS9" s="110"/>
      <c r="FT9" s="107"/>
      <c r="FU9" s="107"/>
      <c r="FV9" s="107"/>
      <c r="FW9" s="107"/>
      <c r="FX9" s="107"/>
      <c r="FY9" s="107"/>
      <c r="FZ9" s="140"/>
      <c r="GA9" s="140"/>
      <c r="GB9" s="140"/>
      <c r="GC9" s="140"/>
      <c r="GD9" s="140"/>
      <c r="GE9" s="140"/>
      <c r="GF9" s="140"/>
      <c r="GG9" s="140"/>
      <c r="GH9" s="140"/>
      <c r="GI9" s="140"/>
      <c r="GJ9" s="141"/>
      <c r="GK9" s="141"/>
      <c r="GL9" s="141"/>
      <c r="GM9" s="141"/>
      <c r="GN9" s="141"/>
      <c r="GO9" s="141"/>
      <c r="GP9" s="141"/>
      <c r="GQ9" s="140"/>
      <c r="GR9" s="140"/>
      <c r="GS9" s="140"/>
      <c r="GT9" s="140"/>
      <c r="GU9" s="140"/>
      <c r="GV9" s="140"/>
      <c r="GW9" s="140"/>
      <c r="GX9" s="140"/>
      <c r="GY9" s="140"/>
      <c r="GZ9" s="140"/>
      <c r="HA9" s="140"/>
      <c r="HB9" s="140"/>
      <c r="HC9" s="140"/>
      <c r="HD9" s="140"/>
      <c r="HE9" s="140"/>
    </row>
    <row r="10" spans="1:213" s="142" customFormat="1" ht="15.75" customHeight="1" x14ac:dyDescent="0.25">
      <c r="A10" s="114" t="s">
        <v>131</v>
      </c>
      <c r="B10" s="152"/>
      <c r="C10" s="116" t="s">
        <v>132</v>
      </c>
      <c r="D10" s="143"/>
      <c r="E10" s="118"/>
      <c r="F10" s="119"/>
      <c r="G10" s="120"/>
      <c r="H10" s="119"/>
      <c r="I10" s="144"/>
      <c r="J10" s="145"/>
      <c r="K10" s="145"/>
      <c r="L10" s="145"/>
      <c r="M10" s="145"/>
      <c r="N10" s="145"/>
      <c r="O10" s="145"/>
      <c r="P10" s="145"/>
      <c r="Q10" s="146"/>
      <c r="R10" s="147"/>
      <c r="S10" s="120"/>
      <c r="T10" s="126"/>
      <c r="U10" s="144"/>
      <c r="V10" s="145"/>
      <c r="W10" s="145"/>
      <c r="X10" s="145"/>
      <c r="Y10" s="145"/>
      <c r="Z10" s="145"/>
      <c r="AA10" s="145"/>
      <c r="AB10" s="145"/>
      <c r="AC10" s="146"/>
      <c r="AD10" s="148"/>
      <c r="AE10" s="120"/>
      <c r="AF10" s="126"/>
      <c r="AG10" s="144"/>
      <c r="AH10" s="145"/>
      <c r="AI10" s="145"/>
      <c r="AJ10" s="145"/>
      <c r="AK10" s="145"/>
      <c r="AL10" s="145"/>
      <c r="AM10" s="145"/>
      <c r="AN10" s="145"/>
      <c r="AO10" s="146"/>
      <c r="AP10" s="148"/>
      <c r="AQ10" s="120"/>
      <c r="AR10" s="126"/>
      <c r="AS10" s="144"/>
      <c r="AT10" s="145"/>
      <c r="AU10" s="145"/>
      <c r="AV10" s="145"/>
      <c r="AW10" s="145"/>
      <c r="AX10" s="145"/>
      <c r="AY10" s="147"/>
      <c r="AZ10" s="147"/>
      <c r="BA10" s="145"/>
      <c r="BB10" s="149"/>
      <c r="BC10" s="120"/>
      <c r="BD10" s="126"/>
      <c r="BE10" s="144"/>
      <c r="BF10" s="145"/>
      <c r="BG10" s="145"/>
      <c r="BH10" s="145"/>
      <c r="BI10" s="145"/>
      <c r="BJ10" s="145"/>
      <c r="BK10" s="145"/>
      <c r="BL10" s="145"/>
      <c r="BM10" s="145"/>
      <c r="BN10" s="149"/>
      <c r="BO10" s="144"/>
      <c r="BP10" s="145"/>
      <c r="BQ10" s="145"/>
      <c r="BR10" s="150"/>
      <c r="BS10" s="145"/>
      <c r="BT10" s="151"/>
      <c r="BU10" s="149"/>
      <c r="BV10" s="131"/>
      <c r="BW10" s="122"/>
      <c r="BX10" s="122"/>
      <c r="BY10" s="122"/>
      <c r="BZ10" s="122"/>
      <c r="CA10" s="122"/>
      <c r="CB10" s="122"/>
      <c r="CC10" s="122"/>
      <c r="CD10" s="132"/>
      <c r="CE10" s="122"/>
      <c r="CF10" s="132"/>
      <c r="CG10" s="122"/>
      <c r="CH10" s="132"/>
      <c r="CI10" s="122"/>
      <c r="CJ10" s="132"/>
      <c r="CK10" s="122"/>
      <c r="CL10" s="133"/>
      <c r="CM10" s="134"/>
      <c r="CN10" s="133"/>
      <c r="CO10" s="135"/>
      <c r="CP10" s="136"/>
      <c r="CQ10" s="144"/>
      <c r="CR10" s="145"/>
      <c r="CS10" s="145"/>
      <c r="CT10" s="150"/>
      <c r="CU10" s="145"/>
      <c r="CV10" s="151"/>
      <c r="CW10" s="149"/>
      <c r="CX10" s="137"/>
      <c r="CY10" s="122"/>
      <c r="CZ10" s="122"/>
      <c r="DA10" s="122"/>
      <c r="DB10" s="122"/>
      <c r="DC10" s="122"/>
      <c r="DD10" s="122"/>
      <c r="DE10" s="122"/>
      <c r="DF10" s="138"/>
      <c r="DG10" s="122"/>
      <c r="DH10" s="99"/>
      <c r="DI10" s="122"/>
      <c r="DJ10" s="99"/>
      <c r="DK10" s="122"/>
      <c r="DL10" s="99"/>
      <c r="DM10" s="122"/>
      <c r="DN10" s="139"/>
      <c r="DO10" s="134"/>
      <c r="DP10" s="139"/>
      <c r="DQ10" s="134"/>
      <c r="DR10" s="102"/>
      <c r="DS10" s="144"/>
      <c r="DT10" s="145"/>
      <c r="DU10" s="145"/>
      <c r="DV10" s="150"/>
      <c r="DW10" s="145"/>
      <c r="DX10" s="151"/>
      <c r="DY10" s="149"/>
      <c r="DZ10" s="137"/>
      <c r="EA10" s="122"/>
      <c r="EB10" s="122"/>
      <c r="EC10" s="122"/>
      <c r="ED10" s="122"/>
      <c r="EE10" s="122"/>
      <c r="EF10" s="122"/>
      <c r="EG10" s="122"/>
      <c r="EH10" s="138"/>
      <c r="EI10" s="122"/>
      <c r="EJ10" s="99"/>
      <c r="EK10" s="122"/>
      <c r="EL10" s="99"/>
      <c r="EM10" s="122"/>
      <c r="EN10" s="99"/>
      <c r="EO10" s="122"/>
      <c r="EP10" s="139"/>
      <c r="EQ10" s="134"/>
      <c r="ER10" s="139"/>
      <c r="ES10" s="134"/>
      <c r="ET10" s="139"/>
      <c r="EU10" s="103"/>
      <c r="EV10" s="103"/>
      <c r="EW10" s="104"/>
      <c r="EX10" s="105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</row>
    <row r="11" spans="1:213" s="142" customFormat="1" ht="15.75" customHeight="1" thickBot="1" x14ac:dyDescent="0.3">
      <c r="A11" s="153" t="s">
        <v>133</v>
      </c>
      <c r="B11" s="154"/>
      <c r="C11" s="155" t="s">
        <v>134</v>
      </c>
      <c r="D11" s="156"/>
      <c r="E11" s="157"/>
      <c r="F11" s="158"/>
      <c r="G11" s="159"/>
      <c r="H11" s="158"/>
      <c r="I11" s="160"/>
      <c r="J11" s="161"/>
      <c r="K11" s="161"/>
      <c r="L11" s="161"/>
      <c r="M11" s="161"/>
      <c r="N11" s="161"/>
      <c r="O11" s="161"/>
      <c r="P11" s="161"/>
      <c r="Q11" s="162"/>
      <c r="R11" s="163"/>
      <c r="S11" s="159"/>
      <c r="T11" s="164"/>
      <c r="U11" s="160"/>
      <c r="V11" s="161"/>
      <c r="W11" s="161"/>
      <c r="X11" s="161"/>
      <c r="Y11" s="161"/>
      <c r="Z11" s="161"/>
      <c r="AA11" s="161"/>
      <c r="AB11" s="161"/>
      <c r="AC11" s="162"/>
      <c r="AD11" s="165"/>
      <c r="AE11" s="159"/>
      <c r="AF11" s="164"/>
      <c r="AG11" s="160"/>
      <c r="AH11" s="161"/>
      <c r="AI11" s="161"/>
      <c r="AJ11" s="161"/>
      <c r="AK11" s="161"/>
      <c r="AL11" s="161"/>
      <c r="AM11" s="161"/>
      <c r="AN11" s="161"/>
      <c r="AO11" s="162"/>
      <c r="AP11" s="165"/>
      <c r="AQ11" s="159"/>
      <c r="AR11" s="164"/>
      <c r="AS11" s="160"/>
      <c r="AT11" s="161"/>
      <c r="AU11" s="161"/>
      <c r="AV11" s="161"/>
      <c r="AW11" s="161"/>
      <c r="AX11" s="161"/>
      <c r="AY11" s="163"/>
      <c r="AZ11" s="163"/>
      <c r="BA11" s="161"/>
      <c r="BB11" s="166"/>
      <c r="BC11" s="159"/>
      <c r="BD11" s="164"/>
      <c r="BE11" s="160"/>
      <c r="BF11" s="161"/>
      <c r="BG11" s="161"/>
      <c r="BH11" s="161"/>
      <c r="BI11" s="161"/>
      <c r="BJ11" s="161"/>
      <c r="BK11" s="161"/>
      <c r="BL11" s="161"/>
      <c r="BM11" s="161"/>
      <c r="BN11" s="166"/>
      <c r="BO11" s="160"/>
      <c r="BP11" s="161"/>
      <c r="BQ11" s="161"/>
      <c r="BR11" s="161"/>
      <c r="BS11" s="161"/>
      <c r="BT11" s="167"/>
      <c r="BU11" s="166"/>
      <c r="BV11" s="131"/>
      <c r="BW11" s="122"/>
      <c r="BX11" s="122"/>
      <c r="BY11" s="122"/>
      <c r="BZ11" s="122"/>
      <c r="CA11" s="122"/>
      <c r="CB11" s="122"/>
      <c r="CC11" s="122"/>
      <c r="CD11" s="132"/>
      <c r="CE11" s="122"/>
      <c r="CF11" s="132"/>
      <c r="CG11" s="122"/>
      <c r="CH11" s="132"/>
      <c r="CI11" s="122"/>
      <c r="CJ11" s="132"/>
      <c r="CK11" s="122"/>
      <c r="CL11" s="133"/>
      <c r="CM11" s="134"/>
      <c r="CN11" s="133"/>
      <c r="CO11" s="135"/>
      <c r="CP11" s="136"/>
      <c r="CQ11" s="160"/>
      <c r="CR11" s="161"/>
      <c r="CS11" s="161"/>
      <c r="CT11" s="161"/>
      <c r="CU11" s="161"/>
      <c r="CV11" s="167"/>
      <c r="CW11" s="166"/>
      <c r="CX11" s="168"/>
      <c r="CY11" s="161"/>
      <c r="CZ11" s="169"/>
      <c r="DA11" s="169"/>
      <c r="DB11" s="169"/>
      <c r="DC11" s="161"/>
      <c r="DD11" s="161"/>
      <c r="DE11" s="161"/>
      <c r="DF11" s="170"/>
      <c r="DG11" s="171"/>
      <c r="DH11" s="172"/>
      <c r="DI11" s="171"/>
      <c r="DJ11" s="172"/>
      <c r="DK11" s="171"/>
      <c r="DL11" s="172"/>
      <c r="DM11" s="171"/>
      <c r="DN11" s="172"/>
      <c r="DO11" s="171"/>
      <c r="DP11" s="172"/>
      <c r="DQ11" s="171"/>
      <c r="DR11" s="173"/>
      <c r="DS11" s="160"/>
      <c r="DT11" s="161"/>
      <c r="DU11" s="161"/>
      <c r="DV11" s="161"/>
      <c r="DW11" s="161"/>
      <c r="DX11" s="167"/>
      <c r="DY11" s="166"/>
      <c r="DZ11" s="168"/>
      <c r="EA11" s="161"/>
      <c r="EB11" s="169"/>
      <c r="EC11" s="169"/>
      <c r="ED11" s="169"/>
      <c r="EE11" s="161"/>
      <c r="EF11" s="161"/>
      <c r="EG11" s="161"/>
      <c r="EH11" s="170"/>
      <c r="EI11" s="171"/>
      <c r="EJ11" s="172"/>
      <c r="EK11" s="171"/>
      <c r="EL11" s="172"/>
      <c r="EM11" s="171"/>
      <c r="EN11" s="172"/>
      <c r="EO11" s="171"/>
      <c r="EP11" s="172"/>
      <c r="EQ11" s="171"/>
      <c r="ER11" s="172"/>
      <c r="ES11" s="171"/>
      <c r="ET11" s="172"/>
      <c r="EU11" s="103"/>
      <c r="EV11" s="103"/>
      <c r="EW11" s="104"/>
      <c r="EX11" s="105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</row>
    <row r="12" spans="1:213" s="174" customFormat="1" ht="15.75" customHeight="1" thickTop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</row>
  </sheetData>
  <mergeCells count="128">
    <mergeCell ref="EG4:EG5"/>
    <mergeCell ref="EI4:EI5"/>
    <mergeCell ref="EK4:EK5"/>
    <mergeCell ref="EM4:EM5"/>
    <mergeCell ref="EO4:EO5"/>
    <mergeCell ref="EQ4:EQ5"/>
    <mergeCell ref="EA4:EA5"/>
    <mergeCell ref="EB4:EB5"/>
    <mergeCell ref="EC4:EC5"/>
    <mergeCell ref="ED4:ED5"/>
    <mergeCell ref="EE4:EE5"/>
    <mergeCell ref="EF4:EF5"/>
    <mergeCell ref="DO4:DO5"/>
    <mergeCell ref="DT4:DT5"/>
    <mergeCell ref="DV4:DV5"/>
    <mergeCell ref="DW4:DW5"/>
    <mergeCell ref="DX4:DX5"/>
    <mergeCell ref="DY4:DY5"/>
    <mergeCell ref="DD4:DD5"/>
    <mergeCell ref="DE4:DE5"/>
    <mergeCell ref="DG4:DG5"/>
    <mergeCell ref="DI4:DI5"/>
    <mergeCell ref="DK4:DK5"/>
    <mergeCell ref="DM4:DM5"/>
    <mergeCell ref="CW4:CW5"/>
    <mergeCell ref="CY4:CY5"/>
    <mergeCell ref="CZ4:CZ5"/>
    <mergeCell ref="DA4:DA5"/>
    <mergeCell ref="DB4:DB5"/>
    <mergeCell ref="DC4:DC5"/>
    <mergeCell ref="BT4:BT5"/>
    <mergeCell ref="BU4:BU5"/>
    <mergeCell ref="CR4:CR5"/>
    <mergeCell ref="CT4:CT5"/>
    <mergeCell ref="CU4:CU5"/>
    <mergeCell ref="CV4:CV5"/>
    <mergeCell ref="BL4:BL5"/>
    <mergeCell ref="BM4:BM5"/>
    <mergeCell ref="BN4:BN5"/>
    <mergeCell ref="BP4:BP5"/>
    <mergeCell ref="BR4:BR5"/>
    <mergeCell ref="BS4:BS5"/>
    <mergeCell ref="AZ4:AZ5"/>
    <mergeCell ref="BA4:BA5"/>
    <mergeCell ref="BB4:BB5"/>
    <mergeCell ref="BF4:BF5"/>
    <mergeCell ref="BI4:BI5"/>
    <mergeCell ref="BK4:BK5"/>
    <mergeCell ref="AK4:AK5"/>
    <mergeCell ref="AM4:AM5"/>
    <mergeCell ref="AN4:AN5"/>
    <mergeCell ref="AT4:AT5"/>
    <mergeCell ref="AW4:AW5"/>
    <mergeCell ref="AY4:AY5"/>
    <mergeCell ref="P4:P5"/>
    <mergeCell ref="V4:V5"/>
    <mergeCell ref="Y4:Y5"/>
    <mergeCell ref="AA4:AA5"/>
    <mergeCell ref="AB4:AB5"/>
    <mergeCell ref="AH4:AH5"/>
    <mergeCell ref="EI2:EI3"/>
    <mergeCell ref="EK2:EK3"/>
    <mergeCell ref="EM2:EM3"/>
    <mergeCell ref="EO2:EO3"/>
    <mergeCell ref="EQ2:EQ3"/>
    <mergeCell ref="C4:C5"/>
    <mergeCell ref="J4:J5"/>
    <mergeCell ref="M4:M5"/>
    <mergeCell ref="O4:O5"/>
    <mergeCell ref="EB2:EB3"/>
    <mergeCell ref="EC2:EC3"/>
    <mergeCell ref="ED2:ED3"/>
    <mergeCell ref="EE2:EE3"/>
    <mergeCell ref="EF2:EF3"/>
    <mergeCell ref="EG2:EG3"/>
    <mergeCell ref="DT2:DT3"/>
    <mergeCell ref="DV2:DV3"/>
    <mergeCell ref="DW2:DW3"/>
    <mergeCell ref="DX2:DX3"/>
    <mergeCell ref="DY2:DY3"/>
    <mergeCell ref="EA2:EA3"/>
    <mergeCell ref="DE2:DE3"/>
    <mergeCell ref="DG2:DG3"/>
    <mergeCell ref="DI2:DI3"/>
    <mergeCell ref="DK2:DK3"/>
    <mergeCell ref="DM2:DM3"/>
    <mergeCell ref="DO2:DO3"/>
    <mergeCell ref="CY2:CY3"/>
    <mergeCell ref="CZ2:CZ3"/>
    <mergeCell ref="DA2:DA3"/>
    <mergeCell ref="DB2:DB3"/>
    <mergeCell ref="DC2:DC3"/>
    <mergeCell ref="DD2:DD3"/>
    <mergeCell ref="BU2:BU3"/>
    <mergeCell ref="CR2:CR3"/>
    <mergeCell ref="CT2:CT3"/>
    <mergeCell ref="CU2:CU3"/>
    <mergeCell ref="CV2:CV3"/>
    <mergeCell ref="CW2:CW3"/>
    <mergeCell ref="BM2:BM3"/>
    <mergeCell ref="BN2:BN3"/>
    <mergeCell ref="BP2:BP3"/>
    <mergeCell ref="BR2:BR3"/>
    <mergeCell ref="BS2:BS3"/>
    <mergeCell ref="BT2:BT3"/>
    <mergeCell ref="BA2:BA3"/>
    <mergeCell ref="BB2:BB3"/>
    <mergeCell ref="BF2:BF3"/>
    <mergeCell ref="BI2:BI3"/>
    <mergeCell ref="BK2:BK3"/>
    <mergeCell ref="BL2:BL3"/>
    <mergeCell ref="AM2:AM3"/>
    <mergeCell ref="AN2:AN3"/>
    <mergeCell ref="AT2:AT3"/>
    <mergeCell ref="AW2:AW3"/>
    <mergeCell ref="AY2:AY3"/>
    <mergeCell ref="AZ2:AZ3"/>
    <mergeCell ref="V2:V3"/>
    <mergeCell ref="Y2:Y3"/>
    <mergeCell ref="AA2:AA3"/>
    <mergeCell ref="AB2:AB3"/>
    <mergeCell ref="AH2:AH3"/>
    <mergeCell ref="AK2:AK3"/>
    <mergeCell ref="C2:C3"/>
    <mergeCell ref="J2:J3"/>
    <mergeCell ref="M2:M3"/>
    <mergeCell ref="O2:O3"/>
    <mergeCell ref="P2:P3"/>
  </mergeCells>
  <phoneticPr fontId="20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T20"/>
  <sheetViews>
    <sheetView tabSelected="1" workbookViewId="0">
      <selection activeCell="L15" sqref="L15"/>
    </sheetView>
  </sheetViews>
  <sheetFormatPr defaultRowHeight="15" outlineLevelRow="1" x14ac:dyDescent="0.25"/>
  <cols>
    <col min="1" max="1" width="8.42578125" customWidth="1"/>
    <col min="2" max="2" width="13" customWidth="1"/>
    <col min="3" max="3" width="29.85546875" customWidth="1"/>
    <col min="4" max="4" width="21.5703125" customWidth="1"/>
    <col min="5" max="8" width="0" hidden="1" customWidth="1"/>
    <col min="9" max="9" width="10.5703125" customWidth="1"/>
    <col min="10" max="12" width="9.85546875" customWidth="1"/>
    <col min="13" max="13" width="7.5703125" customWidth="1"/>
    <col min="14" max="14" width="5.42578125" customWidth="1"/>
    <col min="15" max="15" width="9.5703125" customWidth="1"/>
    <col min="16" max="16" width="11" customWidth="1"/>
    <col min="17" max="18" width="9.28515625" customWidth="1"/>
    <col min="19" max="20" width="0" hidden="1" customWidth="1"/>
    <col min="21" max="21" width="10.5703125" customWidth="1"/>
    <col min="22" max="24" width="9.85546875" customWidth="1"/>
    <col min="25" max="25" width="8.42578125" customWidth="1"/>
    <col min="26" max="26" width="0" hidden="1" customWidth="1"/>
    <col min="27" max="27" width="11" customWidth="1"/>
    <col min="28" max="28" width="10.42578125" customWidth="1"/>
    <col min="29" max="30" width="9.28515625" customWidth="1"/>
    <col min="31" max="32" width="0" hidden="1" customWidth="1"/>
    <col min="33" max="33" width="10.5703125" customWidth="1"/>
    <col min="34" max="36" width="9.85546875" customWidth="1"/>
    <col min="37" max="37" width="7.5703125" customWidth="1"/>
    <col min="38" max="38" width="0" hidden="1" customWidth="1"/>
    <col min="39" max="39" width="10.140625" customWidth="1"/>
    <col min="40" max="40" width="10.5703125" customWidth="1"/>
    <col min="41" max="42" width="9.28515625" customWidth="1"/>
    <col min="43" max="44" width="0" hidden="1" customWidth="1"/>
    <col min="45" max="45" width="10.5703125" customWidth="1"/>
    <col min="46" max="48" width="9.85546875" customWidth="1"/>
    <col min="49" max="49" width="7.28515625" customWidth="1"/>
    <col min="50" max="50" width="0" hidden="1" customWidth="1"/>
    <col min="51" max="51" width="9.28515625" customWidth="1"/>
    <col min="52" max="52" width="13.28515625" customWidth="1"/>
    <col min="53" max="53" width="9.28515625" customWidth="1"/>
    <col min="54" max="54" width="10.85546875" customWidth="1"/>
    <col min="55" max="56" width="0" hidden="1" customWidth="1"/>
    <col min="57" max="57" width="10.5703125" customWidth="1"/>
    <col min="58" max="60" width="9.85546875" customWidth="1"/>
    <col min="61" max="61" width="7.5703125" customWidth="1"/>
    <col min="62" max="62" width="0" hidden="1" customWidth="1"/>
    <col min="63" max="66" width="9.28515625" customWidth="1"/>
    <col min="67" max="67" width="10.42578125" customWidth="1"/>
    <col min="68" max="68" width="10.28515625" customWidth="1"/>
    <col min="69" max="69" width="0" hidden="1" customWidth="1"/>
    <col min="70" max="70" width="5.7109375" customWidth="1"/>
    <col min="71" max="71" width="8.7109375" customWidth="1"/>
    <col min="72" max="72" width="10" customWidth="1"/>
    <col min="73" max="73" width="9.28515625" customWidth="1"/>
    <col min="74" max="74" width="10.5703125" customWidth="1"/>
    <col min="75" max="76" width="9.7109375" customWidth="1"/>
    <col min="78" max="78" width="9.7109375" customWidth="1"/>
    <col min="79" max="79" width="10.140625" customWidth="1"/>
    <col min="80" max="80" width="7.140625" customWidth="1"/>
    <col min="81" max="81" width="10.42578125" customWidth="1"/>
    <col min="82" max="82" width="10.5703125" customWidth="1"/>
    <col min="83" max="86" width="9.140625" customWidth="1"/>
    <col min="89" max="90" width="9.140625" customWidth="1"/>
    <col min="91" max="95" width="10.42578125" customWidth="1"/>
    <col min="96" max="96" width="10.28515625" customWidth="1"/>
    <col min="97" max="97" width="0" hidden="1" customWidth="1"/>
    <col min="98" max="98" width="5.7109375" customWidth="1"/>
    <col min="99" max="100" width="8.7109375" customWidth="1"/>
    <col min="101" max="101" width="9.28515625" customWidth="1"/>
    <col min="102" max="102" width="10.5703125" customWidth="1"/>
    <col min="103" max="104" width="9.7109375" customWidth="1"/>
    <col min="106" max="106" width="9.7109375" customWidth="1"/>
    <col min="107" max="107" width="10.140625" customWidth="1"/>
    <col min="108" max="108" width="9.85546875" customWidth="1"/>
    <col min="109" max="109" width="10.42578125" customWidth="1"/>
    <col min="110" max="110" width="10.5703125" customWidth="1"/>
    <col min="111" max="114" width="9.140625" customWidth="1"/>
    <col min="117" max="118" width="9.140625" customWidth="1"/>
    <col min="119" max="123" width="10.42578125" customWidth="1"/>
    <col min="124" max="124" width="10.28515625" customWidth="1"/>
    <col min="125" max="125" width="0" hidden="1" customWidth="1"/>
    <col min="126" max="126" width="5.7109375" customWidth="1"/>
    <col min="127" max="128" width="8.7109375" customWidth="1"/>
    <col min="129" max="129" width="9.28515625" customWidth="1"/>
    <col min="130" max="130" width="10.5703125" customWidth="1"/>
    <col min="131" max="132" width="9.7109375" customWidth="1"/>
    <col min="134" max="134" width="9.7109375" customWidth="1"/>
    <col min="135" max="135" width="10.140625" customWidth="1"/>
    <col min="136" max="136" width="7.140625" customWidth="1"/>
    <col min="137" max="137" width="10.42578125" customWidth="1"/>
    <col min="138" max="138" width="10.5703125" customWidth="1"/>
    <col min="139" max="142" width="9.140625" customWidth="1"/>
    <col min="145" max="146" width="9.140625" customWidth="1"/>
    <col min="147" max="150" width="10.42578125" customWidth="1"/>
  </cols>
  <sheetData>
    <row r="1" spans="1:150" ht="15.75" customHeight="1" thickTop="1" x14ac:dyDescent="0.25">
      <c r="A1" s="319" t="s">
        <v>48</v>
      </c>
      <c r="B1" s="322" t="s">
        <v>49</v>
      </c>
      <c r="C1" s="325" t="s">
        <v>50</v>
      </c>
      <c r="D1" s="328" t="s">
        <v>51</v>
      </c>
      <c r="E1" s="331" t="s">
        <v>52</v>
      </c>
      <c r="F1" s="334" t="s">
        <v>53</v>
      </c>
      <c r="G1" s="299" t="s">
        <v>89</v>
      </c>
      <c r="H1" s="300"/>
      <c r="I1" s="300"/>
      <c r="J1" s="300"/>
      <c r="K1" s="300"/>
      <c r="L1" s="300"/>
      <c r="M1" s="300"/>
      <c r="N1" s="300"/>
      <c r="O1" s="300"/>
      <c r="P1" s="300"/>
      <c r="Q1" s="300"/>
      <c r="R1" s="300"/>
      <c r="S1" s="299" t="s">
        <v>54</v>
      </c>
      <c r="T1" s="300"/>
      <c r="U1" s="299" t="s">
        <v>54</v>
      </c>
      <c r="V1" s="300"/>
      <c r="W1" s="300"/>
      <c r="X1" s="300"/>
      <c r="Y1" s="300"/>
      <c r="Z1" s="300"/>
      <c r="AA1" s="300"/>
      <c r="AB1" s="300"/>
      <c r="AC1" s="300"/>
      <c r="AD1" s="305"/>
      <c r="AE1" s="299" t="s">
        <v>55</v>
      </c>
      <c r="AF1" s="300"/>
      <c r="AG1" s="299" t="s">
        <v>55</v>
      </c>
      <c r="AH1" s="300"/>
      <c r="AI1" s="300"/>
      <c r="AJ1" s="300"/>
      <c r="AK1" s="300"/>
      <c r="AL1" s="300"/>
      <c r="AM1" s="300"/>
      <c r="AN1" s="300"/>
      <c r="AO1" s="300"/>
      <c r="AP1" s="305"/>
      <c r="AQ1" s="299" t="s">
        <v>56</v>
      </c>
      <c r="AR1" s="300"/>
      <c r="AS1" s="299" t="s">
        <v>90</v>
      </c>
      <c r="AT1" s="300"/>
      <c r="AU1" s="300"/>
      <c r="AV1" s="300"/>
      <c r="AW1" s="300"/>
      <c r="AX1" s="300"/>
      <c r="AY1" s="300"/>
      <c r="AZ1" s="300"/>
      <c r="BA1" s="300"/>
      <c r="BB1" s="305"/>
      <c r="BC1" s="299" t="s">
        <v>57</v>
      </c>
      <c r="BD1" s="300"/>
      <c r="BE1" s="299" t="s">
        <v>91</v>
      </c>
      <c r="BF1" s="300"/>
      <c r="BG1" s="300"/>
      <c r="BH1" s="300"/>
      <c r="BI1" s="300"/>
      <c r="BJ1" s="300"/>
      <c r="BK1" s="300"/>
      <c r="BL1" s="300"/>
      <c r="BM1" s="300"/>
      <c r="BN1" s="305"/>
      <c r="BO1" s="308" t="s">
        <v>92</v>
      </c>
      <c r="BP1" s="309"/>
      <c r="BQ1" s="309"/>
      <c r="BR1" s="309"/>
      <c r="BS1" s="309"/>
      <c r="BT1" s="309"/>
      <c r="BU1" s="309"/>
      <c r="BV1" s="309"/>
      <c r="BW1" s="309"/>
      <c r="BX1" s="309"/>
      <c r="BY1" s="309"/>
      <c r="BZ1" s="309"/>
      <c r="CA1" s="309"/>
      <c r="CB1" s="309"/>
      <c r="CC1" s="309"/>
      <c r="CD1" s="309"/>
      <c r="CE1" s="309"/>
      <c r="CF1" s="309"/>
      <c r="CG1" s="309"/>
      <c r="CH1" s="309"/>
      <c r="CI1" s="309"/>
      <c r="CJ1" s="309"/>
      <c r="CK1" s="309"/>
      <c r="CL1" s="309"/>
      <c r="CM1" s="309"/>
      <c r="CN1" s="309"/>
      <c r="CO1" s="309"/>
      <c r="CP1" s="310"/>
      <c r="CQ1" s="308" t="s">
        <v>93</v>
      </c>
      <c r="CR1" s="309"/>
      <c r="CS1" s="309"/>
      <c r="CT1" s="309"/>
      <c r="CU1" s="309"/>
      <c r="CV1" s="309"/>
      <c r="CW1" s="309"/>
      <c r="CX1" s="309"/>
      <c r="CY1" s="309"/>
      <c r="CZ1" s="309"/>
      <c r="DA1" s="309"/>
      <c r="DB1" s="309"/>
      <c r="DC1" s="309"/>
      <c r="DD1" s="309"/>
      <c r="DE1" s="309"/>
      <c r="DF1" s="309"/>
      <c r="DG1" s="309"/>
      <c r="DH1" s="309"/>
      <c r="DI1" s="309"/>
      <c r="DJ1" s="309"/>
      <c r="DK1" s="309"/>
      <c r="DL1" s="309"/>
      <c r="DM1" s="309"/>
      <c r="DN1" s="309"/>
      <c r="DO1" s="309"/>
      <c r="DP1" s="309"/>
      <c r="DQ1" s="309"/>
      <c r="DR1" s="310"/>
      <c r="DS1" s="308" t="s">
        <v>94</v>
      </c>
      <c r="DT1" s="309"/>
      <c r="DU1" s="309"/>
      <c r="DV1" s="309"/>
      <c r="DW1" s="309"/>
      <c r="DX1" s="309"/>
      <c r="DY1" s="309"/>
      <c r="DZ1" s="309"/>
      <c r="EA1" s="309"/>
      <c r="EB1" s="309"/>
      <c r="EC1" s="309"/>
      <c r="ED1" s="309"/>
      <c r="EE1" s="309"/>
      <c r="EF1" s="309"/>
      <c r="EG1" s="309"/>
      <c r="EH1" s="309"/>
      <c r="EI1" s="309"/>
      <c r="EJ1" s="309"/>
      <c r="EK1" s="309"/>
      <c r="EL1" s="309"/>
      <c r="EM1" s="309"/>
      <c r="EN1" s="309"/>
      <c r="EO1" s="309"/>
      <c r="EP1" s="309"/>
      <c r="EQ1" s="309"/>
      <c r="ER1" s="309"/>
      <c r="ES1" s="309"/>
      <c r="ET1" s="310"/>
    </row>
    <row r="2" spans="1:150" ht="15" customHeight="1" x14ac:dyDescent="0.25">
      <c r="A2" s="320"/>
      <c r="B2" s="323"/>
      <c r="C2" s="326"/>
      <c r="D2" s="329"/>
      <c r="E2" s="332"/>
      <c r="F2" s="335"/>
      <c r="G2" s="301"/>
      <c r="H2" s="302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3"/>
      <c r="T2" s="304"/>
      <c r="U2" s="303"/>
      <c r="V2" s="304"/>
      <c r="W2" s="304"/>
      <c r="X2" s="304"/>
      <c r="Y2" s="304"/>
      <c r="Z2" s="304"/>
      <c r="AA2" s="304"/>
      <c r="AB2" s="304"/>
      <c r="AC2" s="304"/>
      <c r="AD2" s="306"/>
      <c r="AE2" s="303"/>
      <c r="AF2" s="304"/>
      <c r="AG2" s="303"/>
      <c r="AH2" s="304"/>
      <c r="AI2" s="304"/>
      <c r="AJ2" s="304"/>
      <c r="AK2" s="304"/>
      <c r="AL2" s="304"/>
      <c r="AM2" s="304"/>
      <c r="AN2" s="304"/>
      <c r="AO2" s="304"/>
      <c r="AP2" s="306"/>
      <c r="AQ2" s="303"/>
      <c r="AR2" s="304"/>
      <c r="AS2" s="303"/>
      <c r="AT2" s="304"/>
      <c r="AU2" s="304"/>
      <c r="AV2" s="304"/>
      <c r="AW2" s="304"/>
      <c r="AX2" s="304"/>
      <c r="AY2" s="304"/>
      <c r="AZ2" s="304"/>
      <c r="BA2" s="304"/>
      <c r="BB2" s="306"/>
      <c r="BC2" s="303"/>
      <c r="BD2" s="304"/>
      <c r="BE2" s="303"/>
      <c r="BF2" s="304"/>
      <c r="BG2" s="304"/>
      <c r="BH2" s="304"/>
      <c r="BI2" s="304"/>
      <c r="BJ2" s="304"/>
      <c r="BK2" s="304"/>
      <c r="BL2" s="304"/>
      <c r="BM2" s="304"/>
      <c r="BN2" s="306"/>
      <c r="BO2" s="303" t="s">
        <v>58</v>
      </c>
      <c r="BP2" s="304"/>
      <c r="BQ2" s="304"/>
      <c r="BR2" s="304"/>
      <c r="BS2" s="304"/>
      <c r="BT2" s="304"/>
      <c r="BU2" s="306"/>
      <c r="BV2" s="311" t="s">
        <v>59</v>
      </c>
      <c r="BW2" s="312"/>
      <c r="BX2" s="312"/>
      <c r="BY2" s="312"/>
      <c r="BZ2" s="312"/>
      <c r="CA2" s="312"/>
      <c r="CB2" s="312"/>
      <c r="CC2" s="312"/>
      <c r="CD2" s="312"/>
      <c r="CE2" s="312"/>
      <c r="CF2" s="312"/>
      <c r="CG2" s="312"/>
      <c r="CH2" s="312"/>
      <c r="CI2" s="312"/>
      <c r="CJ2" s="312"/>
      <c r="CK2" s="312"/>
      <c r="CL2" s="312"/>
      <c r="CM2" s="312"/>
      <c r="CN2" s="312"/>
      <c r="CO2" s="312"/>
      <c r="CP2" s="313"/>
      <c r="CQ2" s="303" t="s">
        <v>60</v>
      </c>
      <c r="CR2" s="304"/>
      <c r="CS2" s="304"/>
      <c r="CT2" s="304"/>
      <c r="CU2" s="304"/>
      <c r="CV2" s="304"/>
      <c r="CW2" s="306"/>
      <c r="CX2" s="311" t="s">
        <v>59</v>
      </c>
      <c r="CY2" s="312"/>
      <c r="CZ2" s="312"/>
      <c r="DA2" s="312"/>
      <c r="DB2" s="312"/>
      <c r="DC2" s="312"/>
      <c r="DD2" s="312"/>
      <c r="DE2" s="312"/>
      <c r="DF2" s="312"/>
      <c r="DG2" s="312"/>
      <c r="DH2" s="312"/>
      <c r="DI2" s="312"/>
      <c r="DJ2" s="312"/>
      <c r="DK2" s="312"/>
      <c r="DL2" s="312"/>
      <c r="DM2" s="312"/>
      <c r="DN2" s="312"/>
      <c r="DO2" s="312"/>
      <c r="DP2" s="312"/>
      <c r="DQ2" s="312"/>
      <c r="DR2" s="313"/>
      <c r="DS2" s="303" t="s">
        <v>60</v>
      </c>
      <c r="DT2" s="304"/>
      <c r="DU2" s="304"/>
      <c r="DV2" s="304"/>
      <c r="DW2" s="304"/>
      <c r="DX2" s="304"/>
      <c r="DY2" s="306"/>
      <c r="DZ2" s="311" t="s">
        <v>59</v>
      </c>
      <c r="EA2" s="312"/>
      <c r="EB2" s="312"/>
      <c r="EC2" s="312"/>
      <c r="ED2" s="312"/>
      <c r="EE2" s="312"/>
      <c r="EF2" s="312"/>
      <c r="EG2" s="312"/>
      <c r="EH2" s="312"/>
      <c r="EI2" s="312"/>
      <c r="EJ2" s="312"/>
      <c r="EK2" s="312"/>
      <c r="EL2" s="312"/>
      <c r="EM2" s="312"/>
      <c r="EN2" s="312"/>
      <c r="EO2" s="312"/>
      <c r="EP2" s="312"/>
      <c r="EQ2" s="312"/>
      <c r="ER2" s="312"/>
      <c r="ES2" s="312"/>
      <c r="ET2" s="313"/>
    </row>
    <row r="3" spans="1:150" ht="15" customHeight="1" x14ac:dyDescent="0.25">
      <c r="A3" s="320"/>
      <c r="B3" s="323"/>
      <c r="C3" s="326"/>
      <c r="D3" s="329"/>
      <c r="E3" s="332"/>
      <c r="F3" s="335"/>
      <c r="G3" s="289" t="s">
        <v>61</v>
      </c>
      <c r="H3" s="235" t="s">
        <v>62</v>
      </c>
      <c r="I3" s="290" t="s">
        <v>63</v>
      </c>
      <c r="J3" s="290" t="s">
        <v>64</v>
      </c>
      <c r="K3" s="291" t="s">
        <v>65</v>
      </c>
      <c r="L3" s="292"/>
      <c r="M3" s="290" t="s">
        <v>121</v>
      </c>
      <c r="N3" s="290" t="s">
        <v>67</v>
      </c>
      <c r="O3" s="295" t="s">
        <v>68</v>
      </c>
      <c r="P3" s="296"/>
      <c r="Q3" s="314" t="s">
        <v>65</v>
      </c>
      <c r="R3" s="292"/>
      <c r="S3" s="289" t="s">
        <v>61</v>
      </c>
      <c r="T3" s="318" t="s">
        <v>62</v>
      </c>
      <c r="U3" s="307" t="s">
        <v>63</v>
      </c>
      <c r="V3" s="290" t="s">
        <v>64</v>
      </c>
      <c r="W3" s="291" t="s">
        <v>65</v>
      </c>
      <c r="X3" s="292"/>
      <c r="Y3" s="290" t="s">
        <v>121</v>
      </c>
      <c r="Z3" s="225" t="s">
        <v>67</v>
      </c>
      <c r="AA3" s="295" t="s">
        <v>68</v>
      </c>
      <c r="AB3" s="296"/>
      <c r="AC3" s="314" t="s">
        <v>65</v>
      </c>
      <c r="AD3" s="315"/>
      <c r="AE3" s="289" t="s">
        <v>61</v>
      </c>
      <c r="AF3" s="318" t="s">
        <v>62</v>
      </c>
      <c r="AG3" s="307" t="s">
        <v>63</v>
      </c>
      <c r="AH3" s="290" t="s">
        <v>64</v>
      </c>
      <c r="AI3" s="291" t="s">
        <v>65</v>
      </c>
      <c r="AJ3" s="292"/>
      <c r="AK3" s="290" t="s">
        <v>121</v>
      </c>
      <c r="AL3" s="225" t="s">
        <v>67</v>
      </c>
      <c r="AM3" s="295" t="s">
        <v>68</v>
      </c>
      <c r="AN3" s="296"/>
      <c r="AO3" s="314" t="s">
        <v>65</v>
      </c>
      <c r="AP3" s="315"/>
      <c r="AQ3" s="289" t="s">
        <v>61</v>
      </c>
      <c r="AR3" s="318" t="s">
        <v>62</v>
      </c>
      <c r="AS3" s="307" t="s">
        <v>63</v>
      </c>
      <c r="AT3" s="290" t="s">
        <v>64</v>
      </c>
      <c r="AU3" s="291" t="s">
        <v>65</v>
      </c>
      <c r="AV3" s="292"/>
      <c r="AW3" s="290" t="s">
        <v>121</v>
      </c>
      <c r="AX3" s="225" t="s">
        <v>67</v>
      </c>
      <c r="AY3" s="295" t="s">
        <v>68</v>
      </c>
      <c r="AZ3" s="296"/>
      <c r="BA3" s="314" t="s">
        <v>65</v>
      </c>
      <c r="BB3" s="315"/>
      <c r="BC3" s="289" t="s">
        <v>61</v>
      </c>
      <c r="BD3" s="318" t="s">
        <v>62</v>
      </c>
      <c r="BE3" s="307" t="s">
        <v>63</v>
      </c>
      <c r="BF3" s="290" t="s">
        <v>64</v>
      </c>
      <c r="BG3" s="291" t="s">
        <v>65</v>
      </c>
      <c r="BH3" s="292"/>
      <c r="BI3" s="290" t="s">
        <v>121</v>
      </c>
      <c r="BJ3" s="225" t="s">
        <v>67</v>
      </c>
      <c r="BK3" s="295" t="s">
        <v>68</v>
      </c>
      <c r="BL3" s="296"/>
      <c r="BM3" s="314" t="s">
        <v>65</v>
      </c>
      <c r="BN3" s="315"/>
      <c r="BO3" s="283" t="s">
        <v>69</v>
      </c>
      <c r="BP3" s="286" t="s">
        <v>70</v>
      </c>
      <c r="BQ3" s="286" t="s">
        <v>71</v>
      </c>
      <c r="BR3" s="286" t="s">
        <v>72</v>
      </c>
      <c r="BS3" s="273" t="s">
        <v>68</v>
      </c>
      <c r="BT3" s="274"/>
      <c r="BU3" s="275"/>
      <c r="BV3" s="276" t="s">
        <v>73</v>
      </c>
      <c r="BW3" s="277"/>
      <c r="BX3" s="277"/>
      <c r="BY3" s="277"/>
      <c r="BZ3" s="277"/>
      <c r="CA3" s="277"/>
      <c r="CB3" s="278"/>
      <c r="CC3" s="279" t="s">
        <v>74</v>
      </c>
      <c r="CD3" s="280"/>
      <c r="CE3" s="280"/>
      <c r="CF3" s="280"/>
      <c r="CG3" s="280"/>
      <c r="CH3" s="280"/>
      <c r="CI3" s="280"/>
      <c r="CJ3" s="280"/>
      <c r="CK3" s="280"/>
      <c r="CL3" s="280"/>
      <c r="CM3" s="280"/>
      <c r="CN3" s="280"/>
      <c r="CO3" s="280"/>
      <c r="CP3" s="281"/>
      <c r="CQ3" s="283" t="s">
        <v>120</v>
      </c>
      <c r="CR3" s="286" t="s">
        <v>75</v>
      </c>
      <c r="CS3" s="286" t="s">
        <v>76</v>
      </c>
      <c r="CT3" s="286" t="s">
        <v>121</v>
      </c>
      <c r="CU3" s="273" t="s">
        <v>68</v>
      </c>
      <c r="CV3" s="274"/>
      <c r="CW3" s="275"/>
      <c r="CX3" s="276" t="s">
        <v>73</v>
      </c>
      <c r="CY3" s="277"/>
      <c r="CZ3" s="277"/>
      <c r="DA3" s="277"/>
      <c r="DB3" s="277"/>
      <c r="DC3" s="277"/>
      <c r="DD3" s="278"/>
      <c r="DE3" s="279" t="s">
        <v>74</v>
      </c>
      <c r="DF3" s="280"/>
      <c r="DG3" s="280"/>
      <c r="DH3" s="280"/>
      <c r="DI3" s="280"/>
      <c r="DJ3" s="280"/>
      <c r="DK3" s="280"/>
      <c r="DL3" s="280"/>
      <c r="DM3" s="280"/>
      <c r="DN3" s="280"/>
      <c r="DO3" s="280"/>
      <c r="DP3" s="280"/>
      <c r="DQ3" s="280"/>
      <c r="DR3" s="281"/>
      <c r="DS3" s="283" t="s">
        <v>120</v>
      </c>
      <c r="DT3" s="286" t="s">
        <v>75</v>
      </c>
      <c r="DU3" s="286" t="s">
        <v>76</v>
      </c>
      <c r="DV3" s="286" t="s">
        <v>121</v>
      </c>
      <c r="DW3" s="273" t="s">
        <v>68</v>
      </c>
      <c r="DX3" s="274"/>
      <c r="DY3" s="275"/>
      <c r="DZ3" s="276" t="s">
        <v>73</v>
      </c>
      <c r="EA3" s="277"/>
      <c r="EB3" s="277"/>
      <c r="EC3" s="277"/>
      <c r="ED3" s="277"/>
      <c r="EE3" s="277"/>
      <c r="EF3" s="278"/>
      <c r="EG3" s="279" t="s">
        <v>74</v>
      </c>
      <c r="EH3" s="280"/>
      <c r="EI3" s="280"/>
      <c r="EJ3" s="280"/>
      <c r="EK3" s="280"/>
      <c r="EL3" s="280"/>
      <c r="EM3" s="280"/>
      <c r="EN3" s="280"/>
      <c r="EO3" s="280"/>
      <c r="EP3" s="280"/>
      <c r="EQ3" s="280"/>
      <c r="ER3" s="280"/>
      <c r="ES3" s="280"/>
      <c r="ET3" s="281"/>
    </row>
    <row r="4" spans="1:150" ht="23.25" customHeight="1" x14ac:dyDescent="0.25">
      <c r="A4" s="320"/>
      <c r="B4" s="323"/>
      <c r="C4" s="326"/>
      <c r="D4" s="329"/>
      <c r="E4" s="332"/>
      <c r="F4" s="335"/>
      <c r="G4" s="289"/>
      <c r="H4" s="235"/>
      <c r="I4" s="290"/>
      <c r="J4" s="290"/>
      <c r="K4" s="293"/>
      <c r="L4" s="294"/>
      <c r="M4" s="290"/>
      <c r="N4" s="290"/>
      <c r="O4" s="297"/>
      <c r="P4" s="298"/>
      <c r="Q4" s="316"/>
      <c r="R4" s="294"/>
      <c r="S4" s="289"/>
      <c r="T4" s="318"/>
      <c r="U4" s="307"/>
      <c r="V4" s="290"/>
      <c r="W4" s="293"/>
      <c r="X4" s="294"/>
      <c r="Y4" s="290"/>
      <c r="Z4" s="225"/>
      <c r="AA4" s="297"/>
      <c r="AB4" s="298"/>
      <c r="AC4" s="316"/>
      <c r="AD4" s="317"/>
      <c r="AE4" s="289"/>
      <c r="AF4" s="318"/>
      <c r="AG4" s="307"/>
      <c r="AH4" s="290"/>
      <c r="AI4" s="293"/>
      <c r="AJ4" s="294"/>
      <c r="AK4" s="290"/>
      <c r="AL4" s="225"/>
      <c r="AM4" s="297"/>
      <c r="AN4" s="298"/>
      <c r="AO4" s="316"/>
      <c r="AP4" s="317"/>
      <c r="AQ4" s="289"/>
      <c r="AR4" s="318"/>
      <c r="AS4" s="307"/>
      <c r="AT4" s="290"/>
      <c r="AU4" s="293"/>
      <c r="AV4" s="294"/>
      <c r="AW4" s="290"/>
      <c r="AX4" s="225"/>
      <c r="AY4" s="297"/>
      <c r="AZ4" s="298"/>
      <c r="BA4" s="316"/>
      <c r="BB4" s="317"/>
      <c r="BC4" s="289"/>
      <c r="BD4" s="318"/>
      <c r="BE4" s="307"/>
      <c r="BF4" s="290"/>
      <c r="BG4" s="293"/>
      <c r="BH4" s="294"/>
      <c r="BI4" s="290"/>
      <c r="BJ4" s="225"/>
      <c r="BK4" s="297"/>
      <c r="BL4" s="298"/>
      <c r="BM4" s="316"/>
      <c r="BN4" s="317"/>
      <c r="BO4" s="284"/>
      <c r="BP4" s="287"/>
      <c r="BQ4" s="287"/>
      <c r="BR4" s="287"/>
      <c r="BS4" s="29"/>
      <c r="BT4" s="30"/>
      <c r="BU4" s="31"/>
      <c r="BV4" s="32"/>
      <c r="BW4" s="33"/>
      <c r="BX4" s="33"/>
      <c r="BY4" s="33"/>
      <c r="BZ4" s="33"/>
      <c r="CA4" s="33"/>
      <c r="CB4" s="34"/>
      <c r="CC4" s="282" t="s">
        <v>69</v>
      </c>
      <c r="CD4" s="282"/>
      <c r="CE4" s="282" t="s">
        <v>77</v>
      </c>
      <c r="CF4" s="282"/>
      <c r="CG4" s="282" t="s">
        <v>78</v>
      </c>
      <c r="CH4" s="282"/>
      <c r="CI4" s="271" t="s">
        <v>79</v>
      </c>
      <c r="CJ4" s="278"/>
      <c r="CK4" s="271" t="s">
        <v>80</v>
      </c>
      <c r="CL4" s="277"/>
      <c r="CM4" s="282" t="s">
        <v>81</v>
      </c>
      <c r="CN4" s="282"/>
      <c r="CO4" s="271" t="s">
        <v>82</v>
      </c>
      <c r="CP4" s="272"/>
      <c r="CQ4" s="284"/>
      <c r="CR4" s="287"/>
      <c r="CS4" s="287"/>
      <c r="CT4" s="287"/>
      <c r="CU4" s="29"/>
      <c r="CV4" s="30"/>
      <c r="CW4" s="31"/>
      <c r="CX4" s="32"/>
      <c r="CY4" s="33"/>
      <c r="CZ4" s="33"/>
      <c r="DA4" s="33"/>
      <c r="DB4" s="33"/>
      <c r="DC4" s="33"/>
      <c r="DD4" s="34"/>
      <c r="DE4" s="282" t="s">
        <v>69</v>
      </c>
      <c r="DF4" s="282"/>
      <c r="DG4" s="282" t="s">
        <v>77</v>
      </c>
      <c r="DH4" s="282"/>
      <c r="DI4" s="282" t="s">
        <v>78</v>
      </c>
      <c r="DJ4" s="282"/>
      <c r="DK4" s="271" t="s">
        <v>79</v>
      </c>
      <c r="DL4" s="278"/>
      <c r="DM4" s="271" t="s">
        <v>80</v>
      </c>
      <c r="DN4" s="277"/>
      <c r="DO4" s="282" t="s">
        <v>81</v>
      </c>
      <c r="DP4" s="282"/>
      <c r="DQ4" s="271" t="s">
        <v>82</v>
      </c>
      <c r="DR4" s="272"/>
      <c r="DS4" s="284"/>
      <c r="DT4" s="287"/>
      <c r="DU4" s="287"/>
      <c r="DV4" s="287"/>
      <c r="DW4" s="29"/>
      <c r="DX4" s="30"/>
      <c r="DY4" s="31"/>
      <c r="DZ4" s="32"/>
      <c r="EA4" s="33"/>
      <c r="EB4" s="33"/>
      <c r="EC4" s="33"/>
      <c r="ED4" s="33"/>
      <c r="EE4" s="33"/>
      <c r="EF4" s="34"/>
      <c r="EG4" s="282" t="s">
        <v>69</v>
      </c>
      <c r="EH4" s="282"/>
      <c r="EI4" s="282" t="s">
        <v>77</v>
      </c>
      <c r="EJ4" s="282"/>
      <c r="EK4" s="282" t="s">
        <v>78</v>
      </c>
      <c r="EL4" s="282"/>
      <c r="EM4" s="271" t="s">
        <v>79</v>
      </c>
      <c r="EN4" s="278"/>
      <c r="EO4" s="271" t="s">
        <v>80</v>
      </c>
      <c r="EP4" s="277"/>
      <c r="EQ4" s="282" t="s">
        <v>81</v>
      </c>
      <c r="ER4" s="282"/>
      <c r="ES4" s="271" t="s">
        <v>82</v>
      </c>
      <c r="ET4" s="272"/>
    </row>
    <row r="5" spans="1:150" ht="38.25" x14ac:dyDescent="0.25">
      <c r="A5" s="321"/>
      <c r="B5" s="324"/>
      <c r="C5" s="327"/>
      <c r="D5" s="330"/>
      <c r="E5" s="333"/>
      <c r="F5" s="336"/>
      <c r="G5" s="289"/>
      <c r="H5" s="235"/>
      <c r="I5" s="290"/>
      <c r="J5" s="290"/>
      <c r="K5" s="35" t="s">
        <v>83</v>
      </c>
      <c r="L5" s="36" t="s">
        <v>84</v>
      </c>
      <c r="M5" s="290"/>
      <c r="N5" s="290"/>
      <c r="O5" s="37" t="s">
        <v>122</v>
      </c>
      <c r="P5" s="38" t="s">
        <v>73</v>
      </c>
      <c r="Q5" s="39" t="s">
        <v>86</v>
      </c>
      <c r="R5" s="38" t="s">
        <v>108</v>
      </c>
      <c r="S5" s="289"/>
      <c r="T5" s="318"/>
      <c r="U5" s="307"/>
      <c r="V5" s="290"/>
      <c r="W5" s="35" t="s">
        <v>83</v>
      </c>
      <c r="X5" s="36" t="s">
        <v>84</v>
      </c>
      <c r="Y5" s="290"/>
      <c r="Z5" s="225"/>
      <c r="AA5" s="37" t="s">
        <v>122</v>
      </c>
      <c r="AB5" s="38" t="s">
        <v>73</v>
      </c>
      <c r="AC5" s="39" t="s">
        <v>86</v>
      </c>
      <c r="AD5" s="40" t="s">
        <v>108</v>
      </c>
      <c r="AE5" s="289"/>
      <c r="AF5" s="318"/>
      <c r="AG5" s="307"/>
      <c r="AH5" s="290"/>
      <c r="AI5" s="35" t="s">
        <v>83</v>
      </c>
      <c r="AJ5" s="36" t="s">
        <v>84</v>
      </c>
      <c r="AK5" s="290"/>
      <c r="AL5" s="225"/>
      <c r="AM5" s="37" t="s">
        <v>122</v>
      </c>
      <c r="AN5" s="38" t="s">
        <v>73</v>
      </c>
      <c r="AO5" s="39" t="s">
        <v>86</v>
      </c>
      <c r="AP5" s="40" t="s">
        <v>108</v>
      </c>
      <c r="AQ5" s="289"/>
      <c r="AR5" s="318"/>
      <c r="AS5" s="307"/>
      <c r="AT5" s="290"/>
      <c r="AU5" s="35" t="s">
        <v>83</v>
      </c>
      <c r="AV5" s="36" t="s">
        <v>84</v>
      </c>
      <c r="AW5" s="290"/>
      <c r="AX5" s="225"/>
      <c r="AY5" s="37" t="s">
        <v>122</v>
      </c>
      <c r="AZ5" s="38" t="s">
        <v>73</v>
      </c>
      <c r="BA5" s="39" t="s">
        <v>86</v>
      </c>
      <c r="BB5" s="40" t="s">
        <v>108</v>
      </c>
      <c r="BC5" s="289"/>
      <c r="BD5" s="318"/>
      <c r="BE5" s="307"/>
      <c r="BF5" s="290"/>
      <c r="BG5" s="35" t="s">
        <v>83</v>
      </c>
      <c r="BH5" s="36" t="s">
        <v>84</v>
      </c>
      <c r="BI5" s="290"/>
      <c r="BJ5" s="225"/>
      <c r="BK5" s="37" t="s">
        <v>122</v>
      </c>
      <c r="BL5" s="38" t="s">
        <v>73</v>
      </c>
      <c r="BM5" s="39" t="s">
        <v>86</v>
      </c>
      <c r="BN5" s="40" t="s">
        <v>108</v>
      </c>
      <c r="BO5" s="285"/>
      <c r="BP5" s="288"/>
      <c r="BQ5" s="288"/>
      <c r="BR5" s="288"/>
      <c r="BS5" s="41" t="s">
        <v>74</v>
      </c>
      <c r="BT5" s="41" t="s">
        <v>11</v>
      </c>
      <c r="BU5" s="40" t="s">
        <v>73</v>
      </c>
      <c r="BV5" s="32" t="s">
        <v>69</v>
      </c>
      <c r="BW5" s="42" t="s">
        <v>77</v>
      </c>
      <c r="BX5" s="41" t="s">
        <v>78</v>
      </c>
      <c r="BY5" s="41" t="s">
        <v>79</v>
      </c>
      <c r="BZ5" s="41" t="s">
        <v>80</v>
      </c>
      <c r="CA5" s="42" t="s">
        <v>81</v>
      </c>
      <c r="CB5" s="42" t="s">
        <v>82</v>
      </c>
      <c r="CC5" s="42" t="s">
        <v>74</v>
      </c>
      <c r="CD5" s="43" t="s">
        <v>11</v>
      </c>
      <c r="CE5" s="42" t="s">
        <v>74</v>
      </c>
      <c r="CF5" s="43" t="s">
        <v>11</v>
      </c>
      <c r="CG5" s="42" t="s">
        <v>74</v>
      </c>
      <c r="CH5" s="43" t="s">
        <v>11</v>
      </c>
      <c r="CI5" s="42" t="s">
        <v>74</v>
      </c>
      <c r="CJ5" s="43" t="s">
        <v>11</v>
      </c>
      <c r="CK5" s="42" t="s">
        <v>74</v>
      </c>
      <c r="CL5" s="43" t="s">
        <v>11</v>
      </c>
      <c r="CM5" s="42" t="s">
        <v>74</v>
      </c>
      <c r="CN5" s="43" t="s">
        <v>11</v>
      </c>
      <c r="CO5" s="43" t="s">
        <v>74</v>
      </c>
      <c r="CP5" s="44" t="s">
        <v>11</v>
      </c>
      <c r="CQ5" s="285"/>
      <c r="CR5" s="288"/>
      <c r="CS5" s="288"/>
      <c r="CT5" s="288"/>
      <c r="CU5" s="41" t="s">
        <v>88</v>
      </c>
      <c r="CV5" s="41" t="s">
        <v>11</v>
      </c>
      <c r="CW5" s="40" t="s">
        <v>73</v>
      </c>
      <c r="CX5" s="32" t="s">
        <v>69</v>
      </c>
      <c r="CY5" s="42" t="s">
        <v>77</v>
      </c>
      <c r="CZ5" s="41" t="s">
        <v>78</v>
      </c>
      <c r="DA5" s="41" t="s">
        <v>79</v>
      </c>
      <c r="DB5" s="41" t="s">
        <v>80</v>
      </c>
      <c r="DC5" s="42" t="s">
        <v>81</v>
      </c>
      <c r="DD5" s="42" t="s">
        <v>82</v>
      </c>
      <c r="DE5" s="42" t="s">
        <v>74</v>
      </c>
      <c r="DF5" s="43" t="s">
        <v>11</v>
      </c>
      <c r="DG5" s="42" t="s">
        <v>74</v>
      </c>
      <c r="DH5" s="43" t="s">
        <v>11</v>
      </c>
      <c r="DI5" s="42" t="s">
        <v>74</v>
      </c>
      <c r="DJ5" s="43" t="s">
        <v>11</v>
      </c>
      <c r="DK5" s="42" t="s">
        <v>74</v>
      </c>
      <c r="DL5" s="43" t="s">
        <v>11</v>
      </c>
      <c r="DM5" s="42" t="s">
        <v>74</v>
      </c>
      <c r="DN5" s="43" t="s">
        <v>11</v>
      </c>
      <c r="DO5" s="42" t="s">
        <v>74</v>
      </c>
      <c r="DP5" s="43" t="s">
        <v>11</v>
      </c>
      <c r="DQ5" s="43" t="s">
        <v>74</v>
      </c>
      <c r="DR5" s="44" t="s">
        <v>11</v>
      </c>
      <c r="DS5" s="285"/>
      <c r="DT5" s="288"/>
      <c r="DU5" s="288"/>
      <c r="DV5" s="288"/>
      <c r="DW5" s="41" t="s">
        <v>88</v>
      </c>
      <c r="DX5" s="41" t="s">
        <v>11</v>
      </c>
      <c r="DY5" s="40" t="s">
        <v>73</v>
      </c>
      <c r="DZ5" s="32" t="s">
        <v>69</v>
      </c>
      <c r="EA5" s="42" t="s">
        <v>77</v>
      </c>
      <c r="EB5" s="41" t="s">
        <v>78</v>
      </c>
      <c r="EC5" s="41" t="s">
        <v>79</v>
      </c>
      <c r="ED5" s="41" t="s">
        <v>80</v>
      </c>
      <c r="EE5" s="42" t="s">
        <v>81</v>
      </c>
      <c r="EF5" s="42" t="s">
        <v>82</v>
      </c>
      <c r="EG5" s="42" t="s">
        <v>74</v>
      </c>
      <c r="EH5" s="43" t="s">
        <v>11</v>
      </c>
      <c r="EI5" s="42" t="s">
        <v>74</v>
      </c>
      <c r="EJ5" s="43" t="s">
        <v>11</v>
      </c>
      <c r="EK5" s="42" t="s">
        <v>74</v>
      </c>
      <c r="EL5" s="43" t="s">
        <v>11</v>
      </c>
      <c r="EM5" s="42" t="s">
        <v>74</v>
      </c>
      <c r="EN5" s="43" t="s">
        <v>11</v>
      </c>
      <c r="EO5" s="42" t="s">
        <v>74</v>
      </c>
      <c r="EP5" s="43" t="s">
        <v>11</v>
      </c>
      <c r="EQ5" s="42" t="s">
        <v>74</v>
      </c>
      <c r="ER5" s="43" t="s">
        <v>11</v>
      </c>
      <c r="ES5" s="43" t="s">
        <v>74</v>
      </c>
      <c r="ET5" s="53" t="s">
        <v>11</v>
      </c>
    </row>
    <row r="7" spans="1:150" s="19" customFormat="1" x14ac:dyDescent="0.25"/>
    <row r="8" spans="1:150" s="76" customFormat="1" x14ac:dyDescent="0.25">
      <c r="A8" s="56" t="s">
        <v>15</v>
      </c>
      <c r="B8" s="57"/>
      <c r="C8" s="58" t="s">
        <v>123</v>
      </c>
      <c r="D8" s="59"/>
      <c r="E8" s="58"/>
      <c r="F8" s="60"/>
      <c r="G8" s="61"/>
      <c r="H8" s="60"/>
      <c r="I8" s="62">
        <f>I9+I13+I24+I164+I186+I248</f>
        <v>0</v>
      </c>
      <c r="J8" s="63">
        <f>IF(O8&gt;0,O8/I8*1000*12,0)</f>
        <v>0</v>
      </c>
      <c r="K8" s="63">
        <f>IF(O8&gt;0,(O8-Q8)/I8*1000*12,0)</f>
        <v>0</v>
      </c>
      <c r="L8" s="63">
        <f>IF(O8&gt;0,(Q8)/I8*1000*12,0)</f>
        <v>0</v>
      </c>
      <c r="M8" s="63">
        <f>IF(O8&gt;0,P8/O8,0)</f>
        <v>0</v>
      </c>
      <c r="N8" s="63"/>
      <c r="O8" s="63">
        <f>O9+O13+O24+O164+O186+O248</f>
        <v>0</v>
      </c>
      <c r="P8" s="63">
        <f>P9+P13+P24+P164+P186+P248</f>
        <v>0</v>
      </c>
      <c r="Q8" s="64">
        <f>Q9+Q13+Q24+Q164+Q186+Q248</f>
        <v>0</v>
      </c>
      <c r="R8" s="63">
        <f>R9+R13+R24+R164+R186+R248</f>
        <v>0</v>
      </c>
      <c r="S8" s="61"/>
      <c r="T8" s="65"/>
      <c r="U8" s="62">
        <f>U9+U13+U24+U164+U186+U248</f>
        <v>0</v>
      </c>
      <c r="V8" s="63">
        <f>IF(AA8&gt;0,AA8/U8*1000*12,0)</f>
        <v>0</v>
      </c>
      <c r="W8" s="63">
        <f>IF(AA8&gt;0,(AA8-AC8)/U8*1000*12,0)</f>
        <v>0</v>
      </c>
      <c r="X8" s="63">
        <f>IF(AA8&gt;0,(AC8)/U8*1000*12,0)</f>
        <v>0</v>
      </c>
      <c r="Y8" s="63">
        <f>IF(AA8&gt;0,AB8/AA8,0)</f>
        <v>0</v>
      </c>
      <c r="Z8" s="63"/>
      <c r="AA8" s="63">
        <f>AA9+AA13+AA24+AA164+AA186+AA248</f>
        <v>0</v>
      </c>
      <c r="AB8" s="63">
        <f>AB9+AB13+AB24+AB164+AB186+AB248</f>
        <v>0</v>
      </c>
      <c r="AC8" s="64">
        <f>AC9+AC13+AC24+AC164+AC186+AC248</f>
        <v>0</v>
      </c>
      <c r="AD8" s="66">
        <f>AD9+AD13+AD24+AD164+AD186+AD248</f>
        <v>0</v>
      </c>
      <c r="AE8" s="61"/>
      <c r="AF8" s="65"/>
      <c r="AG8" s="62">
        <f t="shared" ref="AG8:AP8" si="0">AS8</f>
        <v>0</v>
      </c>
      <c r="AH8" s="63">
        <f t="shared" si="0"/>
        <v>0</v>
      </c>
      <c r="AI8" s="63">
        <f t="shared" si="0"/>
        <v>0</v>
      </c>
      <c r="AJ8" s="63">
        <f t="shared" si="0"/>
        <v>0</v>
      </c>
      <c r="AK8" s="63">
        <f t="shared" si="0"/>
        <v>64.846561665805609</v>
      </c>
      <c r="AL8" s="63">
        <f t="shared" si="0"/>
        <v>0</v>
      </c>
      <c r="AM8" s="63">
        <f t="shared" si="0"/>
        <v>0</v>
      </c>
      <c r="AN8" s="63">
        <f t="shared" si="0"/>
        <v>0</v>
      </c>
      <c r="AO8" s="64">
        <f t="shared" si="0"/>
        <v>0</v>
      </c>
      <c r="AP8" s="66">
        <f t="shared" si="0"/>
        <v>0</v>
      </c>
      <c r="AQ8" s="61"/>
      <c r="AR8" s="65"/>
      <c r="AS8" s="62">
        <f>AS9+AS13+AS24+AS164+AS186+AS248</f>
        <v>0</v>
      </c>
      <c r="AT8" s="63">
        <f>IF(AY8&gt;0,AZ8/AW8/AS8*1000*12,0)</f>
        <v>0</v>
      </c>
      <c r="AU8" s="63">
        <f>IF(AY8&gt;0,((AZ8-BB8)/AW8)/AS8*1000*12,0)</f>
        <v>0</v>
      </c>
      <c r="AV8" s="63">
        <f>IF(AY8&gt;0,(BB8/AW8)/AS8*1000*12,0)</f>
        <v>0</v>
      </c>
      <c r="AW8" s="63">
        <v>64.846561665805609</v>
      </c>
      <c r="AX8" s="63"/>
      <c r="AY8" s="63">
        <f>AY9+AY13+AY24+AY164+AY186+AY248</f>
        <v>0</v>
      </c>
      <c r="AZ8" s="63">
        <f>AZ9+AZ13+AZ24+AZ164+AZ186+AZ248</f>
        <v>0</v>
      </c>
      <c r="BA8" s="64">
        <f>BA9+BA13+BA24+BA164+BA186+BA248</f>
        <v>0</v>
      </c>
      <c r="BB8" s="66">
        <f>BB9+BB13+BB24+BB164+BB186+BB248</f>
        <v>0</v>
      </c>
      <c r="BC8" s="61"/>
      <c r="BD8" s="65"/>
      <c r="BE8" s="62">
        <v>37466.22</v>
      </c>
      <c r="BF8" s="63">
        <v>389.39500805584458</v>
      </c>
      <c r="BG8" s="63">
        <v>352.29021659996255</v>
      </c>
      <c r="BH8" s="63">
        <v>37.104791455882022</v>
      </c>
      <c r="BI8" s="63">
        <v>64.703624519763977</v>
      </c>
      <c r="BJ8" s="63">
        <v>0</v>
      </c>
      <c r="BK8" s="63">
        <v>1215.7632532268374</v>
      </c>
      <c r="BL8" s="63">
        <v>78664.289041716009</v>
      </c>
      <c r="BM8" s="63">
        <v>116.96652000000002</v>
      </c>
      <c r="BN8" s="67">
        <v>7495.7870017160012</v>
      </c>
      <c r="BO8" s="62">
        <f>AG8-I8</f>
        <v>0</v>
      </c>
      <c r="BP8" s="63">
        <f>AH8-J8</f>
        <v>0</v>
      </c>
      <c r="BQ8" s="63"/>
      <c r="BR8" s="68">
        <f>AK8-M8</f>
        <v>64.846561665805609</v>
      </c>
      <c r="BS8" s="63">
        <f>AM8-O8</f>
        <v>0</v>
      </c>
      <c r="BT8" s="69">
        <f>IF($O$11&gt;0,BS8/$O$11,0)</f>
        <v>0</v>
      </c>
      <c r="BU8" s="66">
        <f>AN8-P8</f>
        <v>0</v>
      </c>
      <c r="BV8" s="70"/>
      <c r="BW8" s="63">
        <f>BX8+BY8</f>
        <v>0</v>
      </c>
      <c r="BX8" s="63">
        <f>FB8+EZ8-BV8</f>
        <v>0</v>
      </c>
      <c r="BY8" s="63"/>
      <c r="BZ8" s="63">
        <f>AP8-R8</f>
        <v>0</v>
      </c>
      <c r="CA8" s="63">
        <f>IF(I8&gt;0,BP8*AG8*M8/1000/12,0)-BZ8</f>
        <v>0</v>
      </c>
      <c r="CB8" s="63">
        <f>IF(I8&gt;0,BR8*AG8*AH8/1000/12,0)</f>
        <v>0</v>
      </c>
      <c r="CC8" s="63"/>
      <c r="CD8" s="69">
        <f>IF($O$11&gt;0,CC8/$O$11,0)</f>
        <v>0</v>
      </c>
      <c r="CE8" s="63">
        <f>CG8+CI8</f>
        <v>0</v>
      </c>
      <c r="CF8" s="69">
        <f>IF($O$11&gt;0,CE8/$O$11,0)</f>
        <v>0</v>
      </c>
      <c r="CG8" s="63">
        <f>FC8+FE8-CC8</f>
        <v>0</v>
      </c>
      <c r="CH8" s="69">
        <f>IF($O$11&gt;0,CG8/$O$11,0)</f>
        <v>0</v>
      </c>
      <c r="CI8" s="63"/>
      <c r="CJ8" s="69">
        <f>IF($O$11&gt;0,CI8/$O$11,0)</f>
        <v>0</v>
      </c>
      <c r="CK8" s="63">
        <f>AO8-Q8</f>
        <v>0</v>
      </c>
      <c r="CL8" s="69">
        <f>IF($O$11&gt;0,CK8/$O$11,0)</f>
        <v>0</v>
      </c>
      <c r="CM8" s="74">
        <f>IF(I8&gt;0,BP8*AG8/1000/12,0)-CK8</f>
        <v>0</v>
      </c>
      <c r="CN8" s="69">
        <f>IF($O$11&gt;0,CM8/$O$11,0)</f>
        <v>0</v>
      </c>
      <c r="CO8" s="74"/>
      <c r="CP8" s="69">
        <f>IF($O$11&gt;0,CO8/$O$11,0)</f>
        <v>0</v>
      </c>
      <c r="CQ8" s="62">
        <f>BI8-AK8</f>
        <v>-0.14293714604163199</v>
      </c>
      <c r="CR8" s="63">
        <f>BJ8-AL8</f>
        <v>0</v>
      </c>
      <c r="CS8" s="63"/>
      <c r="CT8" s="68">
        <f>BM8-AO8</f>
        <v>116.96652000000002</v>
      </c>
      <c r="CU8" s="63">
        <f>BO8-AQ8</f>
        <v>0</v>
      </c>
      <c r="CV8" s="69">
        <f>IF($O$11&gt;0,CU8/$O$11,0)</f>
        <v>0</v>
      </c>
      <c r="CW8" s="66">
        <f>BP8-AR8</f>
        <v>0</v>
      </c>
      <c r="CX8" s="70"/>
      <c r="CY8" s="63">
        <f>CZ8+DA8</f>
        <v>0</v>
      </c>
      <c r="CZ8" s="63">
        <f>GD8+GB8-CX8</f>
        <v>0</v>
      </c>
      <c r="DA8" s="63"/>
      <c r="DB8" s="63">
        <f>BR8-AT8</f>
        <v>64.846561665805609</v>
      </c>
      <c r="DC8" s="63">
        <f>IF(AK8&gt;0,CR8*BI8*AO8/1000/12,0)-DB8</f>
        <v>-64.846561665805609</v>
      </c>
      <c r="DD8" s="63">
        <f>IF(AK8&gt;0,CT8*BI8*BJ8/1000/12,0)</f>
        <v>0</v>
      </c>
      <c r="DE8" s="63"/>
      <c r="DF8" s="69">
        <f>IF($O$11&gt;0,DE8/$O$11,0)</f>
        <v>0</v>
      </c>
      <c r="DG8" s="63">
        <f>DI8+DK8</f>
        <v>0</v>
      </c>
      <c r="DH8" s="69">
        <f>IF($O$11&gt;0,DG8/$O$11,0)</f>
        <v>0</v>
      </c>
      <c r="DI8" s="63">
        <f>GE8+GG8-DE8</f>
        <v>0</v>
      </c>
      <c r="DJ8" s="69">
        <f>IF($O$11&gt;0,DI8/$O$11,0)</f>
        <v>0</v>
      </c>
      <c r="DK8" s="63"/>
      <c r="DL8" s="69">
        <f>IF($O$11&gt;0,DK8/$O$11,0)</f>
        <v>0</v>
      </c>
      <c r="DM8" s="63">
        <f>BQ8-AS8</f>
        <v>0</v>
      </c>
      <c r="DN8" s="69">
        <f>IF($O$11&gt;0,DM8/$O$11,0)</f>
        <v>0</v>
      </c>
      <c r="DO8" s="74">
        <f>IF(AK8&gt;0,CR8*BI8/1000/12,0)-DM8</f>
        <v>0</v>
      </c>
      <c r="DP8" s="69">
        <f>IF($O$11&gt;0,DO8/$O$11,0)</f>
        <v>0</v>
      </c>
      <c r="DQ8" s="74"/>
      <c r="DR8" s="69">
        <f>IF($O$11&gt;0,DQ8/$O$11,0)</f>
        <v>0</v>
      </c>
      <c r="DS8" s="62">
        <f>CK8-BM8</f>
        <v>-116.96652000000002</v>
      </c>
      <c r="DT8" s="63">
        <f>CL8-BN8</f>
        <v>-7495.7870017160012</v>
      </c>
      <c r="DU8" s="63"/>
      <c r="DV8" s="68">
        <f>CO8-BQ8</f>
        <v>0</v>
      </c>
      <c r="DW8" s="63">
        <f>CQ8-BS8</f>
        <v>-0.14293714604163199</v>
      </c>
      <c r="DX8" s="69">
        <f>IF($O$11&gt;0,DW8/$O$11,0)</f>
        <v>0</v>
      </c>
      <c r="DY8" s="66">
        <f>CR8-BT8</f>
        <v>0</v>
      </c>
      <c r="DZ8" s="70"/>
      <c r="EA8" s="63">
        <f>EB8+EC8</f>
        <v>0</v>
      </c>
      <c r="EB8" s="63">
        <f>HF8+HD8-DZ8</f>
        <v>0</v>
      </c>
      <c r="EC8" s="63"/>
      <c r="ED8" s="63">
        <f>CT8-BV8</f>
        <v>116.96652000000002</v>
      </c>
      <c r="EE8" s="63">
        <f>IF(BM8&gt;0,DT8*CK8*BQ8/1000/12,0)-ED8</f>
        <v>-116.96652000000002</v>
      </c>
      <c r="EF8" s="63">
        <f>IF(BM8&gt;0,DV8*CK8*CL8/1000/12,0)</f>
        <v>0</v>
      </c>
      <c r="EG8" s="63"/>
      <c r="EH8" s="71" t="e">
        <f>EG8/$O$11</f>
        <v>#DIV/0!</v>
      </c>
      <c r="EI8" s="63">
        <f>EK8+EM8</f>
        <v>0</v>
      </c>
      <c r="EJ8" s="72" t="e">
        <f>EI8/$O$11</f>
        <v>#DIV/0!</v>
      </c>
      <c r="EK8" s="63">
        <f>HG8+HI8-EG8</f>
        <v>0</v>
      </c>
      <c r="EL8" s="72" t="e">
        <f>EK8/$O$11</f>
        <v>#DIV/0!</v>
      </c>
      <c r="EM8" s="63"/>
      <c r="EN8" s="72" t="e">
        <f>EM8/$O$11</f>
        <v>#DIV/0!</v>
      </c>
      <c r="EO8" s="63">
        <f>CS8-BU8</f>
        <v>0</v>
      </c>
      <c r="EP8" s="73" t="e">
        <f>EO8/$O$11</f>
        <v>#DIV/0!</v>
      </c>
      <c r="EQ8" s="74">
        <f>IF(BM8&gt;0,DT8*CK8/1000/12,0)-EO8</f>
        <v>0</v>
      </c>
      <c r="ER8" s="73" t="e">
        <f>EQ8/$O$11</f>
        <v>#DIV/0!</v>
      </c>
      <c r="ES8" s="74"/>
      <c r="ET8" s="75" t="e">
        <f>ES8/$O$11</f>
        <v>#DIV/0!</v>
      </c>
    </row>
    <row r="9" spans="1:150" s="19" customFormat="1" x14ac:dyDescent="0.25"/>
    <row r="10" spans="1:150" s="19" customFormat="1" x14ac:dyDescent="0.25"/>
    <row r="11" spans="1:150" s="19" customFormat="1" outlineLevel="1" x14ac:dyDescent="0.25"/>
    <row r="12" spans="1:150" s="19" customFormat="1" outlineLevel="1" x14ac:dyDescent="0.25"/>
    <row r="13" spans="1:150" s="19" customFormat="1" outlineLevel="1" x14ac:dyDescent="0.25"/>
    <row r="14" spans="1:150" s="19" customFormat="1" outlineLevel="1" x14ac:dyDescent="0.25">
      <c r="D14" s="23" t="s">
        <v>42</v>
      </c>
      <c r="I14" s="21">
        <v>259</v>
      </c>
    </row>
    <row r="15" spans="1:150" s="19" customFormat="1" outlineLevel="1" x14ac:dyDescent="0.25">
      <c r="A15" s="55" t="s">
        <v>43</v>
      </c>
      <c r="B15" s="77"/>
    </row>
    <row r="16" spans="1:150" s="19" customFormat="1" outlineLevel="1" x14ac:dyDescent="0.25">
      <c r="A16" s="54" t="s">
        <v>44</v>
      </c>
      <c r="B16" s="78" t="s">
        <v>19</v>
      </c>
    </row>
    <row r="17" spans="1:2" s="19" customFormat="1" outlineLevel="1" x14ac:dyDescent="0.25">
      <c r="A17" s="54" t="s">
        <v>45</v>
      </c>
      <c r="B17" s="26" t="s">
        <v>124</v>
      </c>
    </row>
    <row r="18" spans="1:2" s="19" customFormat="1" outlineLevel="1" x14ac:dyDescent="0.25"/>
    <row r="19" spans="1:2" s="19" customFormat="1" x14ac:dyDescent="0.25"/>
    <row r="20" spans="1:2" s="19" customFormat="1" x14ac:dyDescent="0.25"/>
  </sheetData>
  <sheetProtection sheet="1" objects="1" scenarios="1"/>
  <mergeCells count="111">
    <mergeCell ref="A1:A5"/>
    <mergeCell ref="B1:B5"/>
    <mergeCell ref="C1:C5"/>
    <mergeCell ref="D1:D5"/>
    <mergeCell ref="E1:E5"/>
    <mergeCell ref="F1:F5"/>
    <mergeCell ref="DS2:DY2"/>
    <mergeCell ref="Z3:Z5"/>
    <mergeCell ref="AA3:AB4"/>
    <mergeCell ref="AC3:AD4"/>
    <mergeCell ref="AE3:AE5"/>
    <mergeCell ref="AF3:AF5"/>
    <mergeCell ref="AO3:AP4"/>
    <mergeCell ref="AQ3:AQ5"/>
    <mergeCell ref="AR3:AR5"/>
    <mergeCell ref="AS3:AS5"/>
    <mergeCell ref="M3:M5"/>
    <mergeCell ref="N3:N5"/>
    <mergeCell ref="O3:P4"/>
    <mergeCell ref="AS1:BB2"/>
    <mergeCell ref="T3:T5"/>
    <mergeCell ref="U3:U5"/>
    <mergeCell ref="AT3:AT5"/>
    <mergeCell ref="AU3:AV4"/>
    <mergeCell ref="BJ3:BJ5"/>
    <mergeCell ref="BK3:BL4"/>
    <mergeCell ref="AW3:AW5"/>
    <mergeCell ref="AX3:AX5"/>
    <mergeCell ref="AY3:AZ4"/>
    <mergeCell ref="BA3:BB4"/>
    <mergeCell ref="Q3:R4"/>
    <mergeCell ref="S3:S5"/>
    <mergeCell ref="BO1:CP1"/>
    <mergeCell ref="AQ1:AR2"/>
    <mergeCell ref="BC1:BD2"/>
    <mergeCell ref="BC3:BC5"/>
    <mergeCell ref="BD3:BD5"/>
    <mergeCell ref="CK4:CL4"/>
    <mergeCell ref="CM4:CN4"/>
    <mergeCell ref="CO4:CP4"/>
    <mergeCell ref="BM3:BN4"/>
    <mergeCell ref="BO3:BO5"/>
    <mergeCell ref="BP3:BP5"/>
    <mergeCell ref="BQ3:BQ5"/>
    <mergeCell ref="BR3:BR5"/>
    <mergeCell ref="BS3:BU3"/>
    <mergeCell ref="CC4:CD4"/>
    <mergeCell ref="CQ1:DR1"/>
    <mergeCell ref="DZ2:ET2"/>
    <mergeCell ref="DS1:ET1"/>
    <mergeCell ref="BO2:BU2"/>
    <mergeCell ref="BV2:CP2"/>
    <mergeCell ref="CQ2:CW2"/>
    <mergeCell ref="CX2:DR2"/>
    <mergeCell ref="BG3:BH4"/>
    <mergeCell ref="BI3:BI5"/>
    <mergeCell ref="BV3:CB3"/>
    <mergeCell ref="CC3:CP3"/>
    <mergeCell ref="BE1:BN2"/>
    <mergeCell ref="CS3:CS5"/>
    <mergeCell ref="CT3:CT5"/>
    <mergeCell ref="EM4:EN4"/>
    <mergeCell ref="EO4:EP4"/>
    <mergeCell ref="EQ4:ER4"/>
    <mergeCell ref="BE3:BE5"/>
    <mergeCell ref="BF3:BF5"/>
    <mergeCell ref="CQ3:CQ5"/>
    <mergeCell ref="CR3:CR5"/>
    <mergeCell ref="CE4:CF4"/>
    <mergeCell ref="CG4:CH4"/>
    <mergeCell ref="CI4:CJ4"/>
    <mergeCell ref="G3:G5"/>
    <mergeCell ref="H3:H5"/>
    <mergeCell ref="I3:I5"/>
    <mergeCell ref="J3:J5"/>
    <mergeCell ref="K3:L4"/>
    <mergeCell ref="AM3:AN4"/>
    <mergeCell ref="G1:R2"/>
    <mergeCell ref="S1:T2"/>
    <mergeCell ref="U1:AD2"/>
    <mergeCell ref="AE1:AF2"/>
    <mergeCell ref="Y3:Y5"/>
    <mergeCell ref="AG3:AG5"/>
    <mergeCell ref="AH3:AH5"/>
    <mergeCell ref="AI3:AJ4"/>
    <mergeCell ref="AK3:AK5"/>
    <mergeCell ref="AL3:AL5"/>
    <mergeCell ref="V3:V5"/>
    <mergeCell ref="W3:X4"/>
    <mergeCell ref="AG1:AP2"/>
    <mergeCell ref="ES4:ET4"/>
    <mergeCell ref="CU3:CW3"/>
    <mergeCell ref="CX3:DD3"/>
    <mergeCell ref="DE3:DR3"/>
    <mergeCell ref="DE4:DF4"/>
    <mergeCell ref="DG4:DH4"/>
    <mergeCell ref="DI4:DJ4"/>
    <mergeCell ref="DS3:DS5"/>
    <mergeCell ref="DT3:DT5"/>
    <mergeCell ref="DU3:DU5"/>
    <mergeCell ref="EG4:EH4"/>
    <mergeCell ref="EI4:EJ4"/>
    <mergeCell ref="EK4:EL4"/>
    <mergeCell ref="DV3:DV5"/>
    <mergeCell ref="DW3:DY3"/>
    <mergeCell ref="DZ3:EF3"/>
    <mergeCell ref="EG3:ET3"/>
    <mergeCell ref="DK4:DL4"/>
    <mergeCell ref="DM4:DN4"/>
    <mergeCell ref="DO4:DP4"/>
    <mergeCell ref="DQ4:DR4"/>
  </mergeCells>
  <phoneticPr fontId="20" type="noConversion"/>
  <hyperlinks>
    <hyperlink ref="B16" location="Содержание!A1" display="Возврат в содержание"/>
  </hyperlink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Main</vt:lpstr>
      <vt:lpstr>map FA</vt:lpstr>
      <vt:lpstr>Additional_KZ</vt:lpstr>
      <vt:lpstr>temp_FA</vt:lpstr>
      <vt:lpstr>Additional_FA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Consultant_Cognos7</dc:creator>
  <cp:lastModifiedBy>Consultant_Cognos7</cp:lastModifiedBy>
  <dcterms:created xsi:type="dcterms:W3CDTF">2015-06-16T11:44:07Z</dcterms:created>
  <dcterms:modified xsi:type="dcterms:W3CDTF">2015-07-01T13:14:39Z</dcterms:modified>
</cp:coreProperties>
</file>